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git-projects\covid-remittances\data\"/>
    </mc:Choice>
  </mc:AlternateContent>
  <xr:revisionPtr revIDLastSave="0" documentId="13_ncr:1_{A2BA441A-0CB2-4B5A-875F-D9BF6117B608}" xr6:coauthVersionLast="47" xr6:coauthVersionMax="47" xr10:uidLastSave="{00000000-0000-0000-0000-000000000000}"/>
  <bookViews>
    <workbookView xWindow="-110" yWindow="10690" windowWidth="19420" windowHeight="11500" xr2:uid="{00000000-000D-0000-FFFF-FFFF00000000}"/>
  </bookViews>
  <sheets>
    <sheet name="Sheet2" sheetId="2" r:id="rId1"/>
    <sheet name="Sheet1" sheetId="1" r:id="rId2"/>
  </sheets>
  <calcPr calcId="191029"/>
  <pivotCaches>
    <pivotCache cacheId="4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C3" i="1"/>
  <c r="B4" i="1"/>
  <c r="C4" i="1"/>
  <c r="B5" i="1"/>
  <c r="C5" i="1"/>
  <c r="B6" i="1"/>
  <c r="C6" i="1"/>
  <c r="B7" i="1"/>
  <c r="C7" i="1"/>
  <c r="B8" i="1"/>
  <c r="C8" i="1"/>
  <c r="B9" i="1"/>
  <c r="C9" i="1"/>
  <c r="B10" i="1"/>
  <c r="C10" i="1"/>
  <c r="B11" i="1"/>
  <c r="C11" i="1"/>
  <c r="B12" i="1"/>
  <c r="C12" i="1"/>
  <c r="B13" i="1"/>
  <c r="C13" i="1"/>
  <c r="B14" i="1"/>
  <c r="C14" i="1"/>
  <c r="B15" i="1"/>
  <c r="C15" i="1"/>
  <c r="B16" i="1"/>
  <c r="C16" i="1"/>
  <c r="B17" i="1"/>
  <c r="C17" i="1"/>
  <c r="B18" i="1"/>
  <c r="C18" i="1"/>
  <c r="B19" i="1"/>
  <c r="C19" i="1"/>
  <c r="B20" i="1"/>
  <c r="C20" i="1"/>
  <c r="B21" i="1"/>
  <c r="C21" i="1"/>
  <c r="B22" i="1"/>
  <c r="C22" i="1"/>
  <c r="B23" i="1"/>
  <c r="C23" i="1"/>
  <c r="B24" i="1"/>
  <c r="C24" i="1"/>
  <c r="B25" i="1"/>
  <c r="C25" i="1"/>
  <c r="B26" i="1"/>
  <c r="C26" i="1"/>
  <c r="B27" i="1"/>
  <c r="C27" i="1"/>
  <c r="B28" i="1"/>
  <c r="C28" i="1"/>
  <c r="B29" i="1"/>
  <c r="C29" i="1"/>
  <c r="B30" i="1"/>
  <c r="C30" i="1"/>
  <c r="B31" i="1"/>
  <c r="C31" i="1"/>
  <c r="B32" i="1"/>
  <c r="C32" i="1"/>
  <c r="B33" i="1"/>
  <c r="C33" i="1"/>
  <c r="B34" i="1"/>
  <c r="C34" i="1"/>
  <c r="B35" i="1"/>
  <c r="C35" i="1"/>
  <c r="B36" i="1"/>
  <c r="C36" i="1"/>
  <c r="B37" i="1"/>
  <c r="C37" i="1"/>
  <c r="B38" i="1"/>
  <c r="C38" i="1"/>
  <c r="B39" i="1"/>
  <c r="C39" i="1"/>
  <c r="B40" i="1"/>
  <c r="C40" i="1"/>
  <c r="B41" i="1"/>
  <c r="C41" i="1"/>
  <c r="B42" i="1"/>
  <c r="C42" i="1"/>
  <c r="B43" i="1"/>
  <c r="C43" i="1"/>
  <c r="B44" i="1"/>
  <c r="C44" i="1"/>
  <c r="B45" i="1"/>
  <c r="C45" i="1"/>
  <c r="B46" i="1"/>
  <c r="C46" i="1"/>
  <c r="B47" i="1"/>
  <c r="C47" i="1"/>
  <c r="B48" i="1"/>
  <c r="C48" i="1"/>
  <c r="B49" i="1"/>
  <c r="C49" i="1"/>
  <c r="B50" i="1"/>
  <c r="C50" i="1"/>
  <c r="B51" i="1"/>
  <c r="C51" i="1"/>
  <c r="B52" i="1"/>
  <c r="C52" i="1"/>
  <c r="B53" i="1"/>
  <c r="C53" i="1"/>
  <c r="B54" i="1"/>
  <c r="C54" i="1"/>
  <c r="B55" i="1"/>
  <c r="C55" i="1"/>
  <c r="B56" i="1"/>
  <c r="C56" i="1"/>
  <c r="B57" i="1"/>
  <c r="C57" i="1"/>
  <c r="B58" i="1"/>
  <c r="C58" i="1"/>
  <c r="B59" i="1"/>
  <c r="C59" i="1"/>
  <c r="B60" i="1"/>
  <c r="C60" i="1"/>
  <c r="B61" i="1"/>
  <c r="C61" i="1"/>
  <c r="B62" i="1"/>
  <c r="C62" i="1"/>
  <c r="B63" i="1"/>
  <c r="C63" i="1"/>
  <c r="B64" i="1"/>
  <c r="C64" i="1"/>
  <c r="B65" i="1"/>
  <c r="C65" i="1"/>
  <c r="B66" i="1"/>
  <c r="C66" i="1"/>
  <c r="B67" i="1"/>
  <c r="C67" i="1"/>
  <c r="B68" i="1"/>
  <c r="C68" i="1"/>
  <c r="B69" i="1"/>
  <c r="C69" i="1"/>
  <c r="B70" i="1"/>
  <c r="C70" i="1"/>
  <c r="B71" i="1"/>
  <c r="C71" i="1"/>
  <c r="B72" i="1"/>
  <c r="C72" i="1"/>
  <c r="B73" i="1"/>
  <c r="C73" i="1"/>
  <c r="B74" i="1"/>
  <c r="C74" i="1"/>
  <c r="B75" i="1"/>
  <c r="C75" i="1"/>
  <c r="B76" i="1"/>
  <c r="C76" i="1"/>
  <c r="B77" i="1"/>
  <c r="C77" i="1"/>
  <c r="B78" i="1"/>
  <c r="C78" i="1"/>
  <c r="B79" i="1"/>
  <c r="C79" i="1"/>
  <c r="B80" i="1"/>
  <c r="C80" i="1"/>
  <c r="B81" i="1"/>
  <c r="C81" i="1"/>
  <c r="B82" i="1"/>
  <c r="C82" i="1"/>
  <c r="B83" i="1"/>
  <c r="C83" i="1"/>
  <c r="B84" i="1"/>
  <c r="C84" i="1"/>
  <c r="B85" i="1"/>
  <c r="C85" i="1"/>
  <c r="B86" i="1"/>
  <c r="C86" i="1"/>
  <c r="B87" i="1"/>
  <c r="C87" i="1"/>
  <c r="B88" i="1"/>
  <c r="C88" i="1"/>
  <c r="B89" i="1"/>
  <c r="C89" i="1"/>
  <c r="B90" i="1"/>
  <c r="C90" i="1"/>
  <c r="B91" i="1"/>
  <c r="C91" i="1"/>
  <c r="B92" i="1"/>
  <c r="C92" i="1"/>
  <c r="B93" i="1"/>
  <c r="C93" i="1"/>
  <c r="B94" i="1"/>
  <c r="C94" i="1"/>
  <c r="B95" i="1"/>
  <c r="C95" i="1"/>
  <c r="B96" i="1"/>
  <c r="C96" i="1"/>
  <c r="B97" i="1"/>
  <c r="C97" i="1"/>
  <c r="B98" i="1"/>
  <c r="C98" i="1"/>
  <c r="B99" i="1"/>
  <c r="C99" i="1"/>
  <c r="B100" i="1"/>
  <c r="C100" i="1"/>
  <c r="B101" i="1"/>
  <c r="C101" i="1"/>
  <c r="B102" i="1"/>
  <c r="C102" i="1"/>
  <c r="B103" i="1"/>
  <c r="C103" i="1"/>
  <c r="B104" i="1"/>
  <c r="C104" i="1"/>
  <c r="B105" i="1"/>
  <c r="C105" i="1"/>
  <c r="B106" i="1"/>
  <c r="C106" i="1"/>
  <c r="B107" i="1"/>
  <c r="C107" i="1"/>
  <c r="B108" i="1"/>
  <c r="C108" i="1"/>
  <c r="B109" i="1"/>
  <c r="C109" i="1"/>
  <c r="B110" i="1"/>
  <c r="C110" i="1"/>
  <c r="B111" i="1"/>
  <c r="C111" i="1"/>
  <c r="B112" i="1"/>
  <c r="C112" i="1"/>
  <c r="B113" i="1"/>
  <c r="C113" i="1"/>
  <c r="B114" i="1"/>
  <c r="C114" i="1"/>
  <c r="B115" i="1"/>
  <c r="C115" i="1"/>
  <c r="B116" i="1"/>
  <c r="C116" i="1"/>
  <c r="B117" i="1"/>
  <c r="C117" i="1"/>
  <c r="B118" i="1"/>
  <c r="C118" i="1"/>
  <c r="B119" i="1"/>
  <c r="C119" i="1"/>
  <c r="B120" i="1"/>
  <c r="C120" i="1"/>
  <c r="B121" i="1"/>
  <c r="C121" i="1"/>
  <c r="B122" i="1"/>
  <c r="C122" i="1"/>
  <c r="B123" i="1"/>
  <c r="C123" i="1"/>
  <c r="B124" i="1"/>
  <c r="C124" i="1"/>
  <c r="B125" i="1"/>
  <c r="C125" i="1"/>
  <c r="B126" i="1"/>
  <c r="C126" i="1"/>
  <c r="B127" i="1"/>
  <c r="C127" i="1"/>
  <c r="B128" i="1"/>
  <c r="C128" i="1"/>
  <c r="B129" i="1"/>
  <c r="C129" i="1"/>
  <c r="B130" i="1"/>
  <c r="C130" i="1"/>
  <c r="B131" i="1"/>
  <c r="C131" i="1"/>
  <c r="B132" i="1"/>
  <c r="C132" i="1"/>
  <c r="B133" i="1"/>
  <c r="C133" i="1"/>
  <c r="B134" i="1"/>
  <c r="C134" i="1"/>
  <c r="B135" i="1"/>
  <c r="C135" i="1"/>
  <c r="B136" i="1"/>
  <c r="C136" i="1"/>
  <c r="B137" i="1"/>
  <c r="C137" i="1"/>
  <c r="B138" i="1"/>
  <c r="C138" i="1"/>
  <c r="B139" i="1"/>
  <c r="C139" i="1"/>
  <c r="B140" i="1"/>
  <c r="C140" i="1"/>
  <c r="B141" i="1"/>
  <c r="C141" i="1"/>
  <c r="B142" i="1"/>
  <c r="C142" i="1"/>
  <c r="B143" i="1"/>
  <c r="C143" i="1"/>
  <c r="B144" i="1"/>
  <c r="C144" i="1"/>
  <c r="B145" i="1"/>
  <c r="C145" i="1"/>
  <c r="B146" i="1"/>
  <c r="C146" i="1"/>
  <c r="B147" i="1"/>
  <c r="C147" i="1"/>
  <c r="B148" i="1"/>
  <c r="C148" i="1"/>
  <c r="B149" i="1"/>
  <c r="C149" i="1"/>
  <c r="B150" i="1"/>
  <c r="C150" i="1"/>
  <c r="B151" i="1"/>
  <c r="C151" i="1"/>
  <c r="B152" i="1"/>
  <c r="C152" i="1"/>
  <c r="B153" i="1"/>
  <c r="C153" i="1"/>
  <c r="B154" i="1"/>
  <c r="C154" i="1"/>
  <c r="B155" i="1"/>
  <c r="C155" i="1"/>
  <c r="B156" i="1"/>
  <c r="C156" i="1"/>
  <c r="B157" i="1"/>
  <c r="C157" i="1"/>
  <c r="B158" i="1"/>
  <c r="C158" i="1"/>
  <c r="B159" i="1"/>
  <c r="C159" i="1"/>
  <c r="B160" i="1"/>
  <c r="C160" i="1"/>
  <c r="B161" i="1"/>
  <c r="C161" i="1"/>
  <c r="B162" i="1"/>
  <c r="C162" i="1"/>
  <c r="B163" i="1"/>
  <c r="C163" i="1"/>
  <c r="B164" i="1"/>
  <c r="C164" i="1"/>
  <c r="B165" i="1"/>
  <c r="C165" i="1"/>
  <c r="B166" i="1"/>
  <c r="C166" i="1"/>
  <c r="B167" i="1"/>
  <c r="C167" i="1"/>
  <c r="B168" i="1"/>
  <c r="C168" i="1"/>
  <c r="B169" i="1"/>
  <c r="C169" i="1"/>
  <c r="B170" i="1"/>
  <c r="C170" i="1"/>
  <c r="B171" i="1"/>
  <c r="C171" i="1"/>
  <c r="B172" i="1"/>
  <c r="C172" i="1"/>
  <c r="B173" i="1"/>
  <c r="C173" i="1"/>
  <c r="B174" i="1"/>
  <c r="C174" i="1"/>
  <c r="B175" i="1"/>
  <c r="C175" i="1"/>
  <c r="B176" i="1"/>
  <c r="C176" i="1"/>
  <c r="B177" i="1"/>
  <c r="C177" i="1"/>
  <c r="B178" i="1"/>
  <c r="C178" i="1"/>
  <c r="B179" i="1"/>
  <c r="C179" i="1"/>
  <c r="B180" i="1"/>
  <c r="C180" i="1"/>
  <c r="B181" i="1"/>
  <c r="C181" i="1"/>
  <c r="B182" i="1"/>
  <c r="C182" i="1"/>
  <c r="B183" i="1"/>
  <c r="C183" i="1"/>
  <c r="B184" i="1"/>
  <c r="C184" i="1"/>
  <c r="B185" i="1"/>
  <c r="C185" i="1"/>
  <c r="B186" i="1"/>
  <c r="C186" i="1"/>
  <c r="B187" i="1"/>
  <c r="C187" i="1"/>
  <c r="B188" i="1"/>
  <c r="C188" i="1"/>
  <c r="B189" i="1"/>
  <c r="C189" i="1"/>
  <c r="B190" i="1"/>
  <c r="C190" i="1"/>
  <c r="B191" i="1"/>
  <c r="C191" i="1"/>
  <c r="B192" i="1"/>
  <c r="C192" i="1"/>
  <c r="B193" i="1"/>
  <c r="C193" i="1"/>
  <c r="B194" i="1"/>
  <c r="C194" i="1"/>
  <c r="B195" i="1"/>
  <c r="C195" i="1"/>
  <c r="B196" i="1"/>
  <c r="C196" i="1"/>
  <c r="B197" i="1"/>
  <c r="C197" i="1"/>
  <c r="B198" i="1"/>
  <c r="C198" i="1"/>
  <c r="B199" i="1"/>
  <c r="C199" i="1"/>
  <c r="B200" i="1"/>
  <c r="C200" i="1"/>
  <c r="B201" i="1"/>
  <c r="C201" i="1"/>
  <c r="B202" i="1"/>
  <c r="C202" i="1"/>
  <c r="B203" i="1"/>
  <c r="C203" i="1"/>
  <c r="B204" i="1"/>
  <c r="C204" i="1"/>
  <c r="B205" i="1"/>
  <c r="C205" i="1"/>
  <c r="B206" i="1"/>
  <c r="C206" i="1"/>
  <c r="B207" i="1"/>
  <c r="C207" i="1"/>
  <c r="B208" i="1"/>
  <c r="C208" i="1"/>
  <c r="B209" i="1"/>
  <c r="C209" i="1"/>
  <c r="B210" i="1"/>
  <c r="C210" i="1"/>
  <c r="B211" i="1"/>
  <c r="C211" i="1"/>
  <c r="B212" i="1"/>
  <c r="C212" i="1"/>
  <c r="B213" i="1"/>
  <c r="C213" i="1"/>
  <c r="B214" i="1"/>
  <c r="C214" i="1"/>
  <c r="B215" i="1"/>
  <c r="C215" i="1"/>
  <c r="B216" i="1"/>
  <c r="C216" i="1"/>
  <c r="B217" i="1"/>
  <c r="C217" i="1"/>
  <c r="B218" i="1"/>
  <c r="C218" i="1"/>
  <c r="B219" i="1"/>
  <c r="C219" i="1"/>
  <c r="B220" i="1"/>
  <c r="C220" i="1"/>
  <c r="B221" i="1"/>
  <c r="C221" i="1"/>
  <c r="B222" i="1"/>
  <c r="C222" i="1"/>
  <c r="B223" i="1"/>
  <c r="C223" i="1"/>
  <c r="B224" i="1"/>
  <c r="C224" i="1"/>
  <c r="B225" i="1"/>
  <c r="C225" i="1"/>
  <c r="B226" i="1"/>
  <c r="C226" i="1"/>
  <c r="B227" i="1"/>
  <c r="C227" i="1"/>
  <c r="B228" i="1"/>
  <c r="C228" i="1"/>
  <c r="B229" i="1"/>
  <c r="C229" i="1"/>
  <c r="B230" i="1"/>
  <c r="C230" i="1"/>
  <c r="B231" i="1"/>
  <c r="C231" i="1"/>
  <c r="B232" i="1"/>
  <c r="C232" i="1"/>
  <c r="B233" i="1"/>
  <c r="C233" i="1"/>
  <c r="B234" i="1"/>
  <c r="C234" i="1"/>
  <c r="B235" i="1"/>
  <c r="C235" i="1"/>
  <c r="B236" i="1"/>
  <c r="C236" i="1"/>
  <c r="B237" i="1"/>
  <c r="C237" i="1"/>
  <c r="B238" i="1"/>
  <c r="C238" i="1"/>
  <c r="B239" i="1"/>
  <c r="C239" i="1"/>
  <c r="B240" i="1"/>
  <c r="C240" i="1"/>
  <c r="B241" i="1"/>
  <c r="C241" i="1"/>
  <c r="B242" i="1"/>
  <c r="C242" i="1"/>
  <c r="B243" i="1"/>
  <c r="C243" i="1"/>
  <c r="B244" i="1"/>
  <c r="C244" i="1"/>
  <c r="B245" i="1"/>
  <c r="C245" i="1"/>
  <c r="B246" i="1"/>
  <c r="C246" i="1"/>
  <c r="B247" i="1"/>
  <c r="C247" i="1"/>
  <c r="B248" i="1"/>
  <c r="C248" i="1"/>
  <c r="B249" i="1"/>
  <c r="C249" i="1"/>
  <c r="B250" i="1"/>
  <c r="C250" i="1"/>
  <c r="B251" i="1"/>
  <c r="C251" i="1"/>
  <c r="B252" i="1"/>
  <c r="C252" i="1"/>
  <c r="B253" i="1"/>
  <c r="C253" i="1"/>
  <c r="B254" i="1"/>
  <c r="C254" i="1"/>
  <c r="B255" i="1"/>
  <c r="C255" i="1"/>
  <c r="B256" i="1"/>
  <c r="C256" i="1"/>
  <c r="B257" i="1"/>
  <c r="C257" i="1"/>
  <c r="B258" i="1"/>
  <c r="C258" i="1"/>
  <c r="B259" i="1"/>
  <c r="C259" i="1"/>
  <c r="B260" i="1"/>
  <c r="C260" i="1"/>
  <c r="B261" i="1"/>
  <c r="C261" i="1"/>
  <c r="B262" i="1"/>
  <c r="C262" i="1"/>
  <c r="B263" i="1"/>
  <c r="C263" i="1"/>
  <c r="B264" i="1"/>
  <c r="C264" i="1"/>
  <c r="B265" i="1"/>
  <c r="C265" i="1"/>
  <c r="B266" i="1"/>
  <c r="C266" i="1"/>
  <c r="B267" i="1"/>
  <c r="C267" i="1"/>
  <c r="B268" i="1"/>
  <c r="C268" i="1"/>
  <c r="B269" i="1"/>
  <c r="C269" i="1"/>
  <c r="B270" i="1"/>
  <c r="C270" i="1"/>
  <c r="B271" i="1"/>
  <c r="C271" i="1"/>
  <c r="B272" i="1"/>
  <c r="C272" i="1"/>
  <c r="B273" i="1"/>
  <c r="C273" i="1"/>
  <c r="B274" i="1"/>
  <c r="C274" i="1"/>
  <c r="B275" i="1"/>
  <c r="C275" i="1"/>
  <c r="B276" i="1"/>
  <c r="C276" i="1"/>
  <c r="B277" i="1"/>
  <c r="C277" i="1"/>
  <c r="B278" i="1"/>
  <c r="C278" i="1"/>
  <c r="B279" i="1"/>
  <c r="C279" i="1"/>
  <c r="B280" i="1"/>
  <c r="C280" i="1"/>
  <c r="B281" i="1"/>
  <c r="C281" i="1"/>
  <c r="B282" i="1"/>
  <c r="C282" i="1"/>
  <c r="B283" i="1"/>
  <c r="C283" i="1"/>
  <c r="B284" i="1"/>
  <c r="C284" i="1"/>
  <c r="B285" i="1"/>
  <c r="C285" i="1"/>
  <c r="B286" i="1"/>
  <c r="C286" i="1"/>
  <c r="B287" i="1"/>
  <c r="C287" i="1"/>
  <c r="B288" i="1"/>
  <c r="C288" i="1"/>
  <c r="B289" i="1"/>
  <c r="C289" i="1"/>
  <c r="B290" i="1"/>
  <c r="C290" i="1"/>
  <c r="B291" i="1"/>
  <c r="C291" i="1"/>
  <c r="B292" i="1"/>
  <c r="C292" i="1"/>
  <c r="B293" i="1"/>
  <c r="C293" i="1"/>
  <c r="B294" i="1"/>
  <c r="C294" i="1"/>
  <c r="B295" i="1"/>
  <c r="C295" i="1"/>
  <c r="B296" i="1"/>
  <c r="C296" i="1"/>
  <c r="B297" i="1"/>
  <c r="C297" i="1"/>
  <c r="B298" i="1"/>
  <c r="C298" i="1"/>
  <c r="B299" i="1"/>
  <c r="C299" i="1"/>
  <c r="B300" i="1"/>
  <c r="C300" i="1"/>
  <c r="B301" i="1"/>
  <c r="C301" i="1"/>
  <c r="B302" i="1"/>
  <c r="C302" i="1"/>
  <c r="B303" i="1"/>
  <c r="C303" i="1"/>
  <c r="B304" i="1"/>
  <c r="C304" i="1"/>
  <c r="B305" i="1"/>
  <c r="C305" i="1"/>
  <c r="B306" i="1"/>
  <c r="C306" i="1"/>
  <c r="B307" i="1"/>
  <c r="C307" i="1"/>
  <c r="B308" i="1"/>
  <c r="C308" i="1"/>
  <c r="B309" i="1"/>
  <c r="C309" i="1"/>
  <c r="B310" i="1"/>
  <c r="C310" i="1"/>
  <c r="B311" i="1"/>
  <c r="C311" i="1"/>
  <c r="B312" i="1"/>
  <c r="C312" i="1"/>
  <c r="B313" i="1"/>
  <c r="C313" i="1"/>
  <c r="B314" i="1"/>
  <c r="C314" i="1"/>
  <c r="B315" i="1"/>
  <c r="C315" i="1"/>
  <c r="B316" i="1"/>
  <c r="C316" i="1"/>
  <c r="B317" i="1"/>
  <c r="C317" i="1"/>
  <c r="B318" i="1"/>
  <c r="C318" i="1"/>
  <c r="B319" i="1"/>
  <c r="C319" i="1"/>
  <c r="B320" i="1"/>
  <c r="C320" i="1"/>
  <c r="B321" i="1"/>
  <c r="C321" i="1"/>
  <c r="B322" i="1"/>
  <c r="C322" i="1"/>
  <c r="B323" i="1"/>
  <c r="C323" i="1"/>
  <c r="B324" i="1"/>
  <c r="C324" i="1"/>
  <c r="B325" i="1"/>
  <c r="C325" i="1"/>
  <c r="B326" i="1"/>
  <c r="C326" i="1"/>
  <c r="B327" i="1"/>
  <c r="C327" i="1"/>
  <c r="B328" i="1"/>
  <c r="C328" i="1"/>
  <c r="B329" i="1"/>
  <c r="C329" i="1"/>
  <c r="B330" i="1"/>
  <c r="C330" i="1"/>
  <c r="B331" i="1"/>
  <c r="C331" i="1"/>
  <c r="B332" i="1"/>
  <c r="C332" i="1"/>
  <c r="B333" i="1"/>
  <c r="C333" i="1"/>
  <c r="B334" i="1"/>
  <c r="C334" i="1"/>
  <c r="B335" i="1"/>
  <c r="C335" i="1"/>
  <c r="B336" i="1"/>
  <c r="C336" i="1"/>
  <c r="B337" i="1"/>
  <c r="C337" i="1"/>
  <c r="B338" i="1"/>
  <c r="C338" i="1"/>
  <c r="B339" i="1"/>
  <c r="C339" i="1"/>
  <c r="B340" i="1"/>
  <c r="C340" i="1"/>
  <c r="B341" i="1"/>
  <c r="C341" i="1"/>
  <c r="B342" i="1"/>
  <c r="C342" i="1"/>
  <c r="B343" i="1"/>
  <c r="C343" i="1"/>
  <c r="B344" i="1"/>
  <c r="C344" i="1"/>
  <c r="B345" i="1"/>
  <c r="C345" i="1"/>
  <c r="B346" i="1"/>
  <c r="C346" i="1"/>
  <c r="B347" i="1"/>
  <c r="C347" i="1"/>
  <c r="B348" i="1"/>
  <c r="C348" i="1"/>
  <c r="B349" i="1"/>
  <c r="C349" i="1"/>
  <c r="B350" i="1"/>
  <c r="C350" i="1"/>
  <c r="B351" i="1"/>
  <c r="C351" i="1"/>
  <c r="B352" i="1"/>
  <c r="C352" i="1"/>
  <c r="B353" i="1"/>
  <c r="C353" i="1"/>
  <c r="B354" i="1"/>
  <c r="C354" i="1"/>
  <c r="C2" i="1"/>
  <c r="B2" i="1"/>
</calcChain>
</file>

<file path=xl/sharedStrings.xml><?xml version="1.0" encoding="utf-8"?>
<sst xmlns="http://schemas.openxmlformats.org/spreadsheetml/2006/main" count="23" uniqueCount="22">
  <si>
    <t>date</t>
  </si>
  <si>
    <t>total_mln</t>
  </si>
  <si>
    <t>money_orders_mln</t>
  </si>
  <si>
    <t>checks_mln</t>
  </si>
  <si>
    <t>electronic_transfers_mln</t>
  </si>
  <si>
    <t>cash_goods_mln</t>
  </si>
  <si>
    <t>total_operations</t>
  </si>
  <si>
    <t>money_orders_operations</t>
  </si>
  <si>
    <t>checks_operations</t>
  </si>
  <si>
    <t>electronic_transfers_operations</t>
  </si>
  <si>
    <t>cash_goods_operations</t>
  </si>
  <si>
    <t>total_mean_op</t>
  </si>
  <si>
    <t>money_orders_mean_op</t>
  </si>
  <si>
    <t>checks_mean_op</t>
  </si>
  <si>
    <t>electronic_transfers_mean_op</t>
  </si>
  <si>
    <t>cash_goods_mean_op</t>
  </si>
  <si>
    <t>month</t>
  </si>
  <si>
    <t>year</t>
  </si>
  <si>
    <t>Row Labels</t>
  </si>
  <si>
    <t>Grand Total</t>
  </si>
  <si>
    <t>Column Labels</t>
  </si>
  <si>
    <t>Sum of total_mln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</si>
</sst>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1" fontId="0" fillId="0" borderId="0" xfId="0" applyNumberFormat="1"/>
    <xf numFmtId="0" fontId="0" fillId="0" borderId="0" xfId="0" pivotButton="1"/>
    <xf numFmtId="1" fontId="0" fillId="0" borderId="0" xfId="0" applyNumberFormat="1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drea Vismara" refreshedDate="46280.564969444444" createdVersion="8" refreshedVersion="8" minRefreshableVersion="3" recordCount="353" xr:uid="{81FCAEC3-C9DD-48EE-ACE9-E804B2C9A8F3}">
  <cacheSource type="worksheet">
    <worksheetSource ref="A1:R354" sheet="Sheet1"/>
  </cacheSource>
  <cacheFields count="18">
    <cacheField name="date" numFmtId="14">
      <sharedItems containsSemiMixedTypes="0" containsNonDate="0" containsDate="1" containsString="0" minDate="1995-01-01T00:00:00" maxDate="2024-05-02T00:00:00"/>
    </cacheField>
    <cacheField name="month" numFmtId="1">
      <sharedItems containsSemiMixedTypes="0" containsString="0" containsNumber="1" containsInteger="1" minValue="1" maxValue="12" count="12">
        <n v="1"/>
        <n v="2"/>
        <n v="3"/>
        <n v="4"/>
        <n v="5"/>
        <n v="6"/>
        <n v="7"/>
        <n v="8"/>
        <n v="9"/>
        <n v="10"/>
        <n v="11"/>
        <n v="12"/>
      </sharedItems>
    </cacheField>
    <cacheField name="year" numFmtId="1">
      <sharedItems containsSemiMixedTypes="0" containsString="0" containsNumber="1" containsInteger="1" minValue="1995" maxValue="2024" count="30">
        <n v="1995"/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</sharedItems>
    </cacheField>
    <cacheField name="total_mln" numFmtId="0">
      <sharedItems containsSemiMixedTypes="0" containsString="0" containsNumber="1" minValue="248.06049999999999" maxValue="5817.8271999999997"/>
    </cacheField>
    <cacheField name="money_orders_mln" numFmtId="0">
      <sharedItems containsSemiMixedTypes="0" containsString="0" containsNumber="1" minValue="8.2152999999999992" maxValue="195.45099999999999"/>
    </cacheField>
    <cacheField name="checks_mln" numFmtId="0">
      <sharedItems containsSemiMixedTypes="0" containsString="0" containsNumber="1" minValue="0" maxValue="10.912699999999999"/>
    </cacheField>
    <cacheField name="electronic_transfers_mln" numFmtId="0">
      <sharedItems containsSemiMixedTypes="0" containsString="0" containsNumber="1" minValue="127.97239999999999" maxValue="5771.3959999999997"/>
    </cacheField>
    <cacheField name="cash_goods_mln" numFmtId="0">
      <sharedItems containsSemiMixedTypes="0" containsString="0" containsNumber="1" minValue="9.5" maxValue="96.414199999999994"/>
    </cacheField>
    <cacheField name="total_operations" numFmtId="0">
      <sharedItems containsSemiMixedTypes="0" containsString="0" containsNumber="1" minValue="755.26700000000005" maxValue="14765.449000000001"/>
    </cacheField>
    <cacheField name="money_orders_operations" numFmtId="0">
      <sharedItems containsSemiMixedTypes="0" containsString="0" containsNumber="1" minValue="8.25" maxValue="609.12199999999996"/>
    </cacheField>
    <cacheField name="checks_operations" numFmtId="0">
      <sharedItems containsSemiMixedTypes="0" containsString="0" containsNumber="1" minValue="0" maxValue="16.71"/>
    </cacheField>
    <cacheField name="electronic_transfers_operations" numFmtId="0">
      <sharedItems containsSemiMixedTypes="0" containsString="0" containsNumber="1" minValue="380.43299999999999" maxValue="14655.838"/>
    </cacheField>
    <cacheField name="cash_goods_operations" numFmtId="0">
      <sharedItems containsSemiMixedTypes="0" containsString="0" containsNumber="1" minValue="12" maxValue="217.97900000000001"/>
    </cacheField>
    <cacheField name="total_mean_op" numFmtId="0">
      <sharedItems containsSemiMixedTypes="0" containsString="0" containsNumber="1" containsInteger="1" minValue="267" maxValue="410"/>
    </cacheField>
    <cacheField name="money_orders_mean_op" numFmtId="0">
      <sharedItems containsSemiMixedTypes="0" containsString="0" containsNumber="1" containsInteger="1" minValue="285" maxValue="1141"/>
    </cacheField>
    <cacheField name="checks_mean_op" numFmtId="0">
      <sharedItems containsSemiMixedTypes="0" containsString="0" containsNumber="1" containsInteger="1" minValue="0" maxValue="1777"/>
    </cacheField>
    <cacheField name="electronic_transfers_mean_op" numFmtId="0">
      <sharedItems containsSemiMixedTypes="0" containsString="0" containsNumber="1" containsInteger="1" minValue="227" maxValue="408"/>
    </cacheField>
    <cacheField name="cash_goods_mean_op" numFmtId="0">
      <sharedItems containsSemiMixedTypes="0" containsString="0" containsNumber="1" containsInteger="1" minValue="269" maxValue="112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3">
  <r>
    <d v="1995-01-01T00:00:00"/>
    <x v="0"/>
    <x v="0"/>
    <n v="254.57239999999999"/>
    <n v="98.142700000000005"/>
    <n v="2.0648"/>
    <n v="132.81020000000001"/>
    <n v="21.5547"/>
    <n v="767.89300000000003"/>
    <n v="344.92700000000002"/>
    <n v="5.4349999999999996"/>
    <n v="380.43299999999999"/>
    <n v="37.097999999999999"/>
    <n v="332"/>
    <n v="285"/>
    <n v="380"/>
    <n v="349"/>
    <n v="581"/>
  </r>
  <r>
    <d v="1995-02-01T00:00:00"/>
    <x v="1"/>
    <x v="0"/>
    <n v="248.06049999999999"/>
    <n v="90.799099999999996"/>
    <n v="1.4335"/>
    <n v="131.30080000000001"/>
    <n v="24.527200000000001"/>
    <n v="755.26700000000005"/>
    <n v="307.81299999999999"/>
    <n v="4.6689999999999996"/>
    <n v="395.02"/>
    <n v="47.765000000000001"/>
    <n v="328"/>
    <n v="295"/>
    <n v="307"/>
    <n v="332"/>
    <n v="513"/>
  </r>
  <r>
    <d v="1995-03-01T00:00:00"/>
    <x v="2"/>
    <x v="0"/>
    <n v="287.36450000000002"/>
    <n v="104.209"/>
    <n v="2.0369000000000002"/>
    <n v="157.2022"/>
    <n v="23.9163"/>
    <n v="894.60199999999998"/>
    <n v="345.05099999999999"/>
    <n v="4.8170000000000002"/>
    <n v="477.00299999999999"/>
    <n v="67.731999999999999"/>
    <n v="321"/>
    <n v="302"/>
    <n v="423"/>
    <n v="330"/>
    <n v="353"/>
  </r>
  <r>
    <d v="1995-04-01T00:00:00"/>
    <x v="3"/>
    <x v="0"/>
    <n v="298.9135"/>
    <n v="118.2196"/>
    <n v="2.7919999999999998"/>
    <n v="155.25380000000001"/>
    <n v="22.648"/>
    <n v="919.76700000000005"/>
    <n v="388.08600000000001"/>
    <n v="6.2560000000000002"/>
    <n v="467.32100000000003"/>
    <n v="58.103999999999999"/>
    <n v="325"/>
    <n v="305"/>
    <n v="446"/>
    <n v="332"/>
    <n v="390"/>
  </r>
  <r>
    <d v="1995-05-01T00:00:00"/>
    <x v="4"/>
    <x v="0"/>
    <n v="357.7396"/>
    <n v="144.386"/>
    <n v="2.726"/>
    <n v="189.67429999999999"/>
    <n v="20.953299999999999"/>
    <n v="1132.711"/>
    <n v="477.87099999999998"/>
    <n v="5.4240000000000004"/>
    <n v="604.64099999999996"/>
    <n v="44.774999999999999"/>
    <n v="316"/>
    <n v="302"/>
    <n v="503"/>
    <n v="314"/>
    <n v="468"/>
  </r>
  <r>
    <d v="1995-06-01T00:00:00"/>
    <x v="5"/>
    <x v="0"/>
    <n v="352.36950000000002"/>
    <n v="142.53360000000001"/>
    <n v="2.7017000000000002"/>
    <n v="175.57589999999999"/>
    <n v="31.558299999999999"/>
    <n v="1026.296"/>
    <n v="398.01799999999997"/>
    <n v="5.4240000000000004"/>
    <n v="567.99199999999996"/>
    <n v="54.862000000000002"/>
    <n v="343"/>
    <n v="358"/>
    <n v="498"/>
    <n v="309"/>
    <n v="575"/>
  </r>
  <r>
    <d v="1995-07-01T00:00:00"/>
    <x v="6"/>
    <x v="0"/>
    <n v="342.89929999999998"/>
    <n v="132.06039999999999"/>
    <n v="1.3004"/>
    <n v="179.4495"/>
    <n v="30.088999999999999"/>
    <n v="986.84699999999998"/>
    <n v="378.90699999999998"/>
    <n v="3.6190000000000002"/>
    <n v="546.20899999999995"/>
    <n v="58.112000000000002"/>
    <n v="347"/>
    <n v="349"/>
    <n v="359"/>
    <n v="329"/>
    <n v="518"/>
  </r>
  <r>
    <d v="1995-08-01T00:00:00"/>
    <x v="7"/>
    <x v="0"/>
    <n v="362.27390000000003"/>
    <n v="155.8545"/>
    <n v="2.8595000000000002"/>
    <n v="175.68950000000001"/>
    <n v="27.8705"/>
    <n v="1015.4160000000001"/>
    <n v="413.017"/>
    <n v="7.8789999999999996"/>
    <n v="553.46699999999998"/>
    <n v="41.052999999999997"/>
    <n v="357"/>
    <n v="377"/>
    <n v="363"/>
    <n v="317"/>
    <n v="679"/>
  </r>
  <r>
    <d v="1995-09-01T00:00:00"/>
    <x v="8"/>
    <x v="0"/>
    <n v="314.14920000000001"/>
    <n v="134.91849999999999"/>
    <n v="1.5737000000000001"/>
    <n v="161.3099"/>
    <n v="16.347100000000001"/>
    <n v="940.423"/>
    <n v="372.75700000000001"/>
    <n v="3.8610000000000002"/>
    <n v="532.94899999999996"/>
    <n v="30.856000000000002"/>
    <n v="334"/>
    <n v="362"/>
    <n v="408"/>
    <n v="303"/>
    <n v="530"/>
  </r>
  <r>
    <d v="1995-10-01T00:00:00"/>
    <x v="9"/>
    <x v="0"/>
    <n v="324.50330000000002"/>
    <n v="124.9983"/>
    <n v="3.1779000000000002"/>
    <n v="172.5369"/>
    <n v="23.790199999999999"/>
    <n v="1099.2049999999999"/>
    <n v="378.45100000000002"/>
    <n v="5.4539999999999997"/>
    <n v="667.46799999999996"/>
    <n v="47.832000000000001"/>
    <n v="295"/>
    <n v="330"/>
    <n v="583"/>
    <n v="258"/>
    <n v="497"/>
  </r>
  <r>
    <d v="1995-11-01T00:00:00"/>
    <x v="10"/>
    <x v="0"/>
    <n v="255.59219999999999"/>
    <n v="98.334599999999995"/>
    <n v="1.6128"/>
    <n v="132.4554"/>
    <n v="23.189399999999999"/>
    <n v="814.05399999999997"/>
    <n v="284.81099999999998"/>
    <n v="3.149"/>
    <n v="474.63200000000001"/>
    <n v="51.462000000000003"/>
    <n v="314"/>
    <n v="345"/>
    <n v="512"/>
    <n v="279"/>
    <n v="451"/>
  </r>
  <r>
    <d v="1995-12-01T00:00:00"/>
    <x v="11"/>
    <x v="0"/>
    <n v="274.28829999999999"/>
    <n v="111.8314"/>
    <n v="1.9220999999999999"/>
    <n v="127.97239999999999"/>
    <n v="32.562399999999997"/>
    <n v="910.67100000000005"/>
    <n v="331.22399999999999"/>
    <n v="4.4640000000000004"/>
    <n v="477.49799999999999"/>
    <n v="97.484999999999999"/>
    <n v="301"/>
    <n v="338"/>
    <n v="431"/>
    <n v="268"/>
    <n v="334"/>
  </r>
  <r>
    <d v="1996-01-01T00:00:00"/>
    <x v="0"/>
    <x v="1"/>
    <n v="313.50909999999999"/>
    <n v="117.252"/>
    <n v="2.6261000000000001"/>
    <n v="149.23429999999999"/>
    <n v="44.396700000000003"/>
    <n v="960.93899999999996"/>
    <n v="333.17599999999999"/>
    <n v="5.2560000000000002"/>
    <n v="556.64499999999998"/>
    <n v="65.863"/>
    <n v="326"/>
    <n v="352"/>
    <n v="500"/>
    <n v="268"/>
    <n v="674"/>
  </r>
  <r>
    <d v="1996-02-01T00:00:00"/>
    <x v="1"/>
    <x v="1"/>
    <n v="281.92570000000001"/>
    <n v="100.6053"/>
    <n v="1.1009"/>
    <n v="151.01689999999999"/>
    <n v="29.2027"/>
    <n v="903.74099999999999"/>
    <n v="286.60000000000002"/>
    <n v="2.593"/>
    <n v="566.26599999999996"/>
    <n v="48.281999999999996"/>
    <n v="312"/>
    <n v="351"/>
    <n v="425"/>
    <n v="267"/>
    <n v="605"/>
  </r>
  <r>
    <d v="1996-03-01T00:00:00"/>
    <x v="2"/>
    <x v="1"/>
    <n v="337.31849999999997"/>
    <n v="116.176"/>
    <n v="5.2858000000000001"/>
    <n v="183.8997"/>
    <n v="31.957000000000001"/>
    <n v="1057.3130000000001"/>
    <n v="341.39600000000002"/>
    <n v="10.069000000000001"/>
    <n v="650.01599999999996"/>
    <n v="55.831000000000003"/>
    <n v="319"/>
    <n v="340"/>
    <n v="525"/>
    <n v="283"/>
    <n v="572"/>
  </r>
  <r>
    <d v="1996-04-01T00:00:00"/>
    <x v="3"/>
    <x v="1"/>
    <n v="393.3877"/>
    <n v="152.62100000000001"/>
    <n v="9.5367999999999995"/>
    <n v="205.5746"/>
    <n v="25.6553"/>
    <n v="1204.258"/>
    <n v="452.61"/>
    <n v="12.84"/>
    <n v="693.97799999999995"/>
    <n v="44.83"/>
    <n v="327"/>
    <n v="337"/>
    <n v="743"/>
    <n v="296"/>
    <n v="572"/>
  </r>
  <r>
    <d v="1996-05-01T00:00:00"/>
    <x v="4"/>
    <x v="1"/>
    <n v="413.54199999999997"/>
    <n v="145.49850000000001"/>
    <n v="8.0449999999999999"/>
    <n v="222.5487"/>
    <n v="37.449800000000003"/>
    <n v="1336.1389999999999"/>
    <n v="464.596"/>
    <n v="13.391999999999999"/>
    <n v="799.69799999999998"/>
    <n v="58.451999999999998"/>
    <n v="310"/>
    <n v="313"/>
    <n v="601"/>
    <n v="278"/>
    <n v="641"/>
  </r>
  <r>
    <d v="1996-06-01T00:00:00"/>
    <x v="5"/>
    <x v="1"/>
    <n v="365.24509999999998"/>
    <n v="130.7826"/>
    <n v="9.8696000000000002"/>
    <n v="197.76779999999999"/>
    <n v="26.824999999999999"/>
    <n v="1126.7570000000001"/>
    <n v="359.66199999999998"/>
    <n v="12.743"/>
    <n v="703.13199999999995"/>
    <n v="51.22"/>
    <n v="324"/>
    <n v="364"/>
    <n v="775"/>
    <n v="281"/>
    <n v="524"/>
  </r>
  <r>
    <d v="1996-07-01T00:00:00"/>
    <x v="6"/>
    <x v="1"/>
    <n v="373.6705"/>
    <n v="138.26410000000001"/>
    <n v="7.5525000000000002"/>
    <n v="197.91079999999999"/>
    <n v="29.943100000000001"/>
    <n v="1150.9110000000001"/>
    <n v="358.363"/>
    <n v="10.84"/>
    <n v="712.06100000000004"/>
    <n v="69.647000000000006"/>
    <n v="325"/>
    <n v="386"/>
    <n v="697"/>
    <n v="278"/>
    <n v="430"/>
  </r>
  <r>
    <d v="1996-08-01T00:00:00"/>
    <x v="7"/>
    <x v="1"/>
    <n v="386.06659999999999"/>
    <n v="151.9365"/>
    <n v="10.6265"/>
    <n v="193.10499999999999"/>
    <n v="30.398700000000002"/>
    <n v="1244.6010000000001"/>
    <n v="440.25599999999997"/>
    <n v="15.073"/>
    <n v="716.26599999999996"/>
    <n v="73.006"/>
    <n v="310"/>
    <n v="345"/>
    <n v="705"/>
    <n v="270"/>
    <n v="416"/>
  </r>
  <r>
    <d v="1996-09-01T00:00:00"/>
    <x v="8"/>
    <x v="1"/>
    <n v="339.25330000000002"/>
    <n v="115.2315"/>
    <n v="4.2408999999999999"/>
    <n v="189.2801"/>
    <n v="30.500699999999998"/>
    <n v="1046.6659999999999"/>
    <n v="291.69799999999998"/>
    <n v="6.6269999999999998"/>
    <n v="706.10699999999997"/>
    <n v="42.232999999999997"/>
    <n v="324"/>
    <n v="395"/>
    <n v="640"/>
    <n v="268"/>
    <n v="722"/>
  </r>
  <r>
    <d v="1996-10-01T00:00:00"/>
    <x v="9"/>
    <x v="1"/>
    <n v="348.90100000000001"/>
    <n v="128.2713"/>
    <n v="5.5765000000000002"/>
    <n v="192.42949999999999"/>
    <n v="22.623799999999999"/>
    <n v="1120.643"/>
    <n v="346.77"/>
    <n v="7.4939999999999998"/>
    <n v="734.67200000000003"/>
    <n v="31.707000000000001"/>
    <n v="311"/>
    <n v="370"/>
    <n v="744"/>
    <n v="262"/>
    <n v="714"/>
  </r>
  <r>
    <d v="1996-11-01T00:00:00"/>
    <x v="10"/>
    <x v="1"/>
    <n v="315.60160000000002"/>
    <n v="99.946899999999999"/>
    <n v="4.2519"/>
    <n v="167.56030000000001"/>
    <n v="43.842399999999998"/>
    <n v="952.58799999999997"/>
    <n v="254.922"/>
    <n v="6.0789999999999997"/>
    <n v="635.68299999999999"/>
    <n v="55.904000000000003"/>
    <n v="331"/>
    <n v="392"/>
    <n v="699"/>
    <n v="264"/>
    <n v="784"/>
  </r>
  <r>
    <d v="1996-12-01T00:00:00"/>
    <x v="11"/>
    <x v="1"/>
    <n v="355.26089999999999"/>
    <n v="123.11320000000001"/>
    <n v="6.08"/>
    <n v="171.5172"/>
    <n v="54.550400000000003"/>
    <n v="1103.501"/>
    <n v="296.81299999999999"/>
    <n v="7.173"/>
    <n v="687.99699999999996"/>
    <n v="111.518"/>
    <n v="322"/>
    <n v="415"/>
    <n v="848"/>
    <n v="249"/>
    <n v="489"/>
  </r>
  <r>
    <d v="1997-01-01T00:00:00"/>
    <x v="0"/>
    <x v="2"/>
    <n v="338.64769999999999"/>
    <n v="117.607"/>
    <n v="4.3898000000000001"/>
    <n v="167.60059999999999"/>
    <n v="49.050400000000003"/>
    <n v="1105.4929999999999"/>
    <n v="383.50799999999998"/>
    <n v="5.95"/>
    <n v="615.76"/>
    <n v="100.27500000000001"/>
    <n v="306"/>
    <n v="307"/>
    <n v="738"/>
    <n v="272"/>
    <n v="489"/>
  </r>
  <r>
    <d v="1997-02-01T00:00:00"/>
    <x v="1"/>
    <x v="2"/>
    <n v="331.59179999999998"/>
    <n v="110.2971"/>
    <n v="2.0718000000000001"/>
    <n v="185.9408"/>
    <n v="33.2821"/>
    <n v="1044.4670000000001"/>
    <n v="314.47300000000001"/>
    <n v="2.1779999999999999"/>
    <n v="672.06"/>
    <n v="55.756999999999998"/>
    <n v="317"/>
    <n v="351"/>
    <n v="951"/>
    <n v="277"/>
    <n v="597"/>
  </r>
  <r>
    <d v="1997-03-01T00:00:00"/>
    <x v="2"/>
    <x v="2"/>
    <n v="381.90719999999999"/>
    <n v="123.4019"/>
    <n v="5.8654999999999999"/>
    <n v="218.8305"/>
    <n v="33.8093"/>
    <n v="1214.671"/>
    <n v="361.4"/>
    <n v="7.2729999999999997"/>
    <n v="789.11199999999997"/>
    <n v="56.886000000000003"/>
    <n v="314"/>
    <n v="341"/>
    <n v="807"/>
    <n v="277"/>
    <n v="594"/>
  </r>
  <r>
    <d v="1997-04-01T00:00:00"/>
    <x v="3"/>
    <x v="2"/>
    <n v="425.53859999999997"/>
    <n v="155.38419999999999"/>
    <n v="5.5838000000000001"/>
    <n v="235.39060000000001"/>
    <n v="29.180099999999999"/>
    <n v="1325.21"/>
    <n v="456.47800000000001"/>
    <n v="7.5279999999999996"/>
    <n v="817.30499999999995"/>
    <n v="43.899000000000001"/>
    <n v="321"/>
    <n v="340"/>
    <n v="742"/>
    <n v="288"/>
    <n v="665"/>
  </r>
  <r>
    <d v="1997-05-01T00:00:00"/>
    <x v="4"/>
    <x v="2"/>
    <n v="486.68939999999998"/>
    <n v="168.19749999999999"/>
    <n v="10.912699999999999"/>
    <n v="268.35480000000001"/>
    <n v="39.224400000000003"/>
    <n v="1492.847"/>
    <n v="443.46199999999999"/>
    <n v="16.71"/>
    <n v="971.62699999999995"/>
    <n v="61.048000000000002"/>
    <n v="326"/>
    <n v="379"/>
    <n v="653"/>
    <n v="276"/>
    <n v="643"/>
  </r>
  <r>
    <d v="1997-06-01T00:00:00"/>
    <x v="5"/>
    <x v="2"/>
    <n v="453.55959999999999"/>
    <n v="174.7165"/>
    <n v="10.374599999999999"/>
    <n v="242.0224"/>
    <n v="26.446200000000001"/>
    <n v="1444.537"/>
    <n v="518.072"/>
    <n v="12.414"/>
    <n v="858.76499999999999"/>
    <n v="55.286999999999999"/>
    <n v="314"/>
    <n v="337"/>
    <n v="836"/>
    <n v="282"/>
    <n v="478"/>
  </r>
  <r>
    <d v="1997-07-01T00:00:00"/>
    <x v="6"/>
    <x v="2"/>
    <n v="441.68630000000002"/>
    <n v="173.2139"/>
    <n v="6.6553000000000004"/>
    <n v="232.29679999999999"/>
    <n v="29.520199999999999"/>
    <n v="1393.2929999999999"/>
    <n v="472.23099999999999"/>
    <n v="9.2439999999999998"/>
    <n v="836.64099999999996"/>
    <n v="75.177000000000007"/>
    <n v="317"/>
    <n v="367"/>
    <n v="720"/>
    <n v="278"/>
    <n v="393"/>
  </r>
  <r>
    <d v="1997-08-01T00:00:00"/>
    <x v="7"/>
    <x v="2"/>
    <n v="428.90219999999999"/>
    <n v="156.4143"/>
    <n v="6.5980999999999996"/>
    <n v="235.9204"/>
    <n v="29.9693"/>
    <n v="1353.7570000000001"/>
    <n v="419.06200000000001"/>
    <n v="3.7130000000000001"/>
    <n v="852.18"/>
    <n v="78.802999999999997"/>
    <n v="317"/>
    <n v="373"/>
    <n v="1777"/>
    <n v="277"/>
    <n v="380"/>
  </r>
  <r>
    <d v="1997-09-01T00:00:00"/>
    <x v="8"/>
    <x v="2"/>
    <n v="431.46780000000001"/>
    <n v="158.44649999999999"/>
    <n v="6.5412999999999997"/>
    <n v="236.4101"/>
    <n v="30.07"/>
    <n v="1353.578"/>
    <n v="437.85199999999998"/>
    <n v="3.681"/>
    <n v="866.45899999999995"/>
    <n v="45.585999999999999"/>
    <n v="319"/>
    <n v="362"/>
    <n v="1777"/>
    <n v="273"/>
    <n v="660"/>
  </r>
  <r>
    <d v="1997-10-01T00:00:00"/>
    <x v="9"/>
    <x v="2"/>
    <n v="421.66809999999998"/>
    <n v="159.8338"/>
    <n v="6.4851000000000001"/>
    <n v="233.04499999999999"/>
    <n v="22.304300000000001"/>
    <n v="1329.152"/>
    <n v="419.67899999999997"/>
    <n v="3.649"/>
    <n v="871.59900000000005"/>
    <n v="34.223999999999997"/>
    <n v="317"/>
    <n v="381"/>
    <n v="1777"/>
    <n v="267"/>
    <n v="652"/>
  </r>
  <r>
    <d v="1997-11-01T00:00:00"/>
    <x v="10"/>
    <x v="2"/>
    <n v="343.4307"/>
    <n v="108.2239"/>
    <n v="6.4292999999999996"/>
    <n v="185.55439999999999"/>
    <n v="43.223199999999999"/>
    <n v="1087.1679999999999"/>
    <n v="309.89699999999999"/>
    <n v="3.6179999999999999"/>
    <n v="713.31100000000004"/>
    <n v="60.343000000000004"/>
    <n v="316"/>
    <n v="349"/>
    <n v="1777"/>
    <n v="260"/>
    <n v="716"/>
  </r>
  <r>
    <d v="1997-12-01T00:00:00"/>
    <x v="11"/>
    <x v="2"/>
    <n v="379.755"/>
    <n v="123.07810000000001"/>
    <n v="6.3739999999999997"/>
    <n v="196.52289999999999"/>
    <n v="53.78"/>
    <n v="1224.414"/>
    <n v="329.053"/>
    <n v="3.5870000000000002"/>
    <n v="771.40200000000004"/>
    <n v="120.372"/>
    <n v="310"/>
    <n v="374"/>
    <n v="1777"/>
    <n v="255"/>
    <n v="447"/>
  </r>
  <r>
    <d v="1998-01-01T00:00:00"/>
    <x v="0"/>
    <x v="3"/>
    <n v="382.5317"/>
    <n v="111.8904"/>
    <n v="4.7625000000000002"/>
    <n v="215.7764"/>
    <n v="50.102400000000003"/>
    <n v="1274.6179999999999"/>
    <n v="340.84300000000002"/>
    <n v="6.7869999999999999"/>
    <n v="856.91399999999999"/>
    <n v="70.072999999999993"/>
    <n v="300"/>
    <n v="328"/>
    <n v="702"/>
    <n v="252"/>
    <n v="715"/>
  </r>
  <r>
    <d v="1998-02-01T00:00:00"/>
    <x v="1"/>
    <x v="3"/>
    <n v="366.39819999999997"/>
    <n v="103.0103"/>
    <n v="3.5756000000000001"/>
    <n v="222.9982"/>
    <n v="36.814100000000003"/>
    <n v="1244.2260000000001"/>
    <n v="311.423"/>
    <n v="5.1970000000000001"/>
    <n v="876.11800000000005"/>
    <n v="51.488"/>
    <n v="294"/>
    <n v="331"/>
    <n v="688"/>
    <n v="255"/>
    <n v="715"/>
  </r>
  <r>
    <d v="1998-03-01T00:00:00"/>
    <x v="2"/>
    <x v="3"/>
    <n v="427.19490000000002"/>
    <n v="122.99460000000001"/>
    <n v="3.67"/>
    <n v="263.86309999999997"/>
    <n v="36.667299999999997"/>
    <n v="1466.7729999999999"/>
    <n v="365.541"/>
    <n v="5.2350000000000003"/>
    <n v="1044.7139999999999"/>
    <n v="51.283000000000001"/>
    <n v="291"/>
    <n v="336"/>
    <n v="701"/>
    <n v="253"/>
    <n v="715"/>
  </r>
  <r>
    <d v="1998-04-01T00:00:00"/>
    <x v="3"/>
    <x v="3"/>
    <n v="439.995"/>
    <n v="161.15729999999999"/>
    <n v="5.1910999999999996"/>
    <n v="240.2355"/>
    <n v="33.411099999999998"/>
    <n v="1450.673"/>
    <n v="452.38900000000001"/>
    <n v="6.7590000000000003"/>
    <n v="944.79700000000003"/>
    <n v="46.728999999999999"/>
    <n v="303"/>
    <n v="356"/>
    <n v="768"/>
    <n v="254"/>
    <n v="715"/>
  </r>
  <r>
    <d v="1998-05-01T00:00:00"/>
    <x v="4"/>
    <x v="3"/>
    <n v="520.37390000000005"/>
    <n v="170.05459999999999"/>
    <n v="6.6677999999999997"/>
    <n v="297.57220000000001"/>
    <n v="46.0794"/>
    <n v="1827.4690000000001"/>
    <n v="534.64400000000001"/>
    <n v="8.6809999999999992"/>
    <n v="1219.6969999999999"/>
    <n v="64.447000000000003"/>
    <n v="285"/>
    <n v="318"/>
    <n v="768"/>
    <n v="244"/>
    <n v="715"/>
  </r>
  <r>
    <d v="1998-06-01T00:00:00"/>
    <x v="5"/>
    <x v="3"/>
    <n v="503.48759999999999"/>
    <n v="193.09010000000001"/>
    <n v="5.2530000000000001"/>
    <n v="272.69810000000001"/>
    <n v="32.446399999999997"/>
    <n v="1737.8140000000001"/>
    <n v="609.12199999999996"/>
    <n v="6.8390000000000004"/>
    <n v="1076.473"/>
    <n v="45.38"/>
    <n v="290"/>
    <n v="317"/>
    <n v="768"/>
    <n v="253"/>
    <n v="715"/>
  </r>
  <r>
    <d v="1998-07-01T00:00:00"/>
    <x v="6"/>
    <x v="3"/>
    <n v="494.32560000000001"/>
    <n v="179.75219999999999"/>
    <n v="5.5210999999999997"/>
    <n v="279.53210000000001"/>
    <n v="29.520199999999999"/>
    <n v="1681.9469999999999"/>
    <n v="527.41899999999998"/>
    <n v="7.1879999999999997"/>
    <n v="1106.0519999999999"/>
    <n v="41.286999999999999"/>
    <n v="294"/>
    <n v="341"/>
    <n v="768"/>
    <n v="253"/>
    <n v="715"/>
  </r>
  <r>
    <d v="1998-08-01T00:00:00"/>
    <x v="7"/>
    <x v="3"/>
    <n v="486.60700000000003"/>
    <n v="169.78489999999999"/>
    <n v="5.2986000000000004"/>
    <n v="281.55419999999998"/>
    <n v="29.9693"/>
    <n v="1704.2719999999999"/>
    <n v="514"/>
    <n v="6.899"/>
    <n v="1141.4590000000001"/>
    <n v="41.914999999999999"/>
    <n v="286"/>
    <n v="330"/>
    <n v="768"/>
    <n v="247"/>
    <n v="715"/>
  </r>
  <r>
    <d v="1998-09-01T00:00:00"/>
    <x v="8"/>
    <x v="3"/>
    <n v="476.29050000000001"/>
    <n v="161.86449999999999"/>
    <n v="5.3890000000000002"/>
    <n v="278.96710000000002"/>
    <n v="30.07"/>
    <n v="1677.7190000000001"/>
    <n v="491.459"/>
    <n v="7.016"/>
    <n v="1137.1869999999999"/>
    <n v="42.055999999999997"/>
    <n v="284"/>
    <n v="329"/>
    <n v="768"/>
    <n v="245"/>
    <n v="715"/>
  </r>
  <r>
    <d v="1998-10-01T00:00:00"/>
    <x v="9"/>
    <x v="3"/>
    <n v="454.6739"/>
    <n v="153.36859999999999"/>
    <n v="5.1769999999999996"/>
    <n v="273.82389999999998"/>
    <n v="22.304300000000001"/>
    <n v="1619.82"/>
    <n v="465.66300000000001"/>
    <n v="6.74"/>
    <n v="1116.222"/>
    <n v="31.195"/>
    <n v="281"/>
    <n v="329"/>
    <n v="768"/>
    <n v="245"/>
    <n v="715"/>
  </r>
  <r>
    <d v="1998-11-01T00:00:00"/>
    <x v="10"/>
    <x v="3"/>
    <n v="460.69240000000002"/>
    <n v="148.29419999999999"/>
    <n v="5.4089999999999998"/>
    <n v="263.76600000000002"/>
    <n v="43.223199999999999"/>
    <n v="1592.972"/>
    <n v="450.25599999999997"/>
    <n v="7.0419999999999998"/>
    <n v="1075.221"/>
    <n v="60.451999999999998"/>
    <n v="289"/>
    <n v="329"/>
    <n v="768"/>
    <n v="245"/>
    <n v="715"/>
  </r>
  <r>
    <d v="1998-12-01T00:00:00"/>
    <x v="11"/>
    <x v="3"/>
    <n v="614.27099999999996"/>
    <n v="195.45099999999999"/>
    <n v="5.58"/>
    <n v="359.46"/>
    <n v="53.78"/>
    <n v="2141.2280000000001"/>
    <n v="593.43499999999995"/>
    <n v="7.2649999999999997"/>
    <n v="1465.3109999999999"/>
    <n v="75.216999999999999"/>
    <n v="287"/>
    <n v="329"/>
    <n v="768"/>
    <n v="245"/>
    <n v="715"/>
  </r>
  <r>
    <d v="1999-01-01T00:00:00"/>
    <x v="0"/>
    <x v="4"/>
    <n v="399.64229999999998"/>
    <n v="95.572400000000002"/>
    <n v="2.9451999999999998"/>
    <n v="249.62180000000001"/>
    <n v="51.502899999999997"/>
    <n v="1356.7840000000001"/>
    <n v="247.85900000000001"/>
    <n v="4.2370000000000001"/>
    <n v="1032.6559999999999"/>
    <n v="72.031999999999996"/>
    <n v="295"/>
    <n v="386"/>
    <n v="695"/>
    <n v="242"/>
    <n v="715"/>
  </r>
  <r>
    <d v="1999-02-01T00:00:00"/>
    <x v="1"/>
    <x v="4"/>
    <n v="388.85109999999997"/>
    <n v="88.335999999999999"/>
    <n v="1.9428000000000001"/>
    <n v="263.62599999999998"/>
    <n v="34.946199999999997"/>
    <n v="1390.124"/>
    <n v="242.786"/>
    <n v="2.0270000000000001"/>
    <n v="1096.4359999999999"/>
    <n v="48.875999999999998"/>
    <n v="280"/>
    <n v="364"/>
    <n v="959"/>
    <n v="240"/>
    <n v="715"/>
  </r>
  <r>
    <d v="1999-03-01T00:00:00"/>
    <x v="2"/>
    <x v="4"/>
    <n v="464.89769999999999"/>
    <n v="112.8963"/>
    <n v="2.8645"/>
    <n v="313.63720000000001"/>
    <n v="35.499699999999997"/>
    <n v="1638.306"/>
    <n v="282.79599999999999"/>
    <n v="3.6789999999999998"/>
    <n v="1302.181"/>
    <n v="49.65"/>
    <n v="284"/>
    <n v="399"/>
    <n v="779"/>
    <n v="241"/>
    <n v="715"/>
  </r>
  <r>
    <d v="1999-04-01T00:00:00"/>
    <x v="3"/>
    <x v="4"/>
    <n v="469.18279999999999"/>
    <n v="110.6934"/>
    <n v="2.9630000000000001"/>
    <n v="324.88740000000001"/>
    <n v="30.639099999999999"/>
    <n v="1650.796"/>
    <n v="278.65300000000002"/>
    <n v="4.4770000000000003"/>
    <n v="1324.8140000000001"/>
    <n v="42.851999999999997"/>
    <n v="284"/>
    <n v="397"/>
    <n v="662"/>
    <n v="245"/>
    <n v="715"/>
  </r>
  <r>
    <d v="1999-05-01T00:00:00"/>
    <x v="4"/>
    <x v="4"/>
    <n v="571.56200000000001"/>
    <n v="140.8904"/>
    <n v="3.415"/>
    <n v="386.07100000000003"/>
    <n v="41.185600000000001"/>
    <n v="2082.81"/>
    <n v="378.66300000000001"/>
    <n v="4.6980000000000004"/>
    <n v="1641.847"/>
    <n v="57.601999999999997"/>
    <n v="274"/>
    <n v="372"/>
    <n v="727"/>
    <n v="235"/>
    <n v="715"/>
  </r>
  <r>
    <d v="1999-06-01T00:00:00"/>
    <x v="5"/>
    <x v="4"/>
    <n v="521.92250000000001"/>
    <n v="141.4545"/>
    <n v="5.8997000000000002"/>
    <n v="346.7998"/>
    <n v="27.7685"/>
    <n v="1829.7270000000001"/>
    <n v="363.19499999999999"/>
    <n v="5.6950000000000003"/>
    <n v="1421.999"/>
    <n v="38.837000000000003"/>
    <n v="285"/>
    <n v="389"/>
    <n v="1036"/>
    <n v="244"/>
    <n v="715"/>
  </r>
  <r>
    <d v="1999-07-01T00:00:00"/>
    <x v="6"/>
    <x v="4"/>
    <n v="506.66419999999999"/>
    <n v="132.19720000000001"/>
    <n v="6.0675999999999997"/>
    <n v="337.88"/>
    <n v="30.519300000000001"/>
    <n v="1781.5129999999999"/>
    <n v="337.43"/>
    <n v="6.2"/>
    <n v="1394.5319999999999"/>
    <n v="43.350999999999999"/>
    <n v="284"/>
    <n v="392"/>
    <n v="979"/>
    <n v="242"/>
    <n v="704"/>
  </r>
  <r>
    <d v="1999-08-01T00:00:00"/>
    <x v="7"/>
    <x v="4"/>
    <n v="532.09969999999998"/>
    <n v="145.05510000000001"/>
    <n v="5.7024999999999997"/>
    <n v="350.35840000000002"/>
    <n v="30.983699999999999"/>
    <n v="1852.9970000000001"/>
    <n v="350.64499999999998"/>
    <n v="6.2"/>
    <n v="1452.1410000000001"/>
    <n v="44.011000000000003"/>
    <n v="287"/>
    <n v="414"/>
    <n v="920"/>
    <n v="241"/>
    <n v="704"/>
  </r>
  <r>
    <d v="1999-09-01T00:00:00"/>
    <x v="8"/>
    <x v="4"/>
    <n v="490.48289999999997"/>
    <n v="131.40459999999999"/>
    <n v="5.4602000000000004"/>
    <n v="322.53030000000001"/>
    <n v="31.087700000000002"/>
    <n v="1748.8119999999999"/>
    <n v="331.67099999999999"/>
    <n v="6.2"/>
    <n v="1366.7819999999999"/>
    <n v="44.158999999999999"/>
    <n v="280"/>
    <n v="396"/>
    <n v="881"/>
    <n v="236"/>
    <n v="704"/>
  </r>
  <r>
    <d v="1999-10-01T00:00:00"/>
    <x v="9"/>
    <x v="4"/>
    <n v="474.50689999999997"/>
    <n v="114.4552"/>
    <n v="4.6257000000000001"/>
    <n v="332.36680000000001"/>
    <n v="23.059200000000001"/>
    <n v="1779.5740000000001"/>
    <n v="292.57299999999998"/>
    <n v="5.23"/>
    <n v="1449.0160000000001"/>
    <n v="32.755000000000003"/>
    <n v="267"/>
    <n v="391"/>
    <n v="884"/>
    <n v="229"/>
    <n v="704"/>
  </r>
  <r>
    <d v="1999-11-01T00:00:00"/>
    <x v="10"/>
    <x v="4"/>
    <n v="502.00729999999999"/>
    <n v="112.5269"/>
    <n v="4.4856999999999996"/>
    <n v="340.30849999999998"/>
    <n v="44.686199999999999"/>
    <n v="1821.2080000000001"/>
    <n v="276.14499999999998"/>
    <n v="4.9260000000000002"/>
    <n v="1476.663"/>
    <n v="63.475000000000001"/>
    <n v="276"/>
    <n v="407"/>
    <n v="911"/>
    <n v="230"/>
    <n v="704"/>
  </r>
  <r>
    <d v="1999-12-01T00:00:00"/>
    <x v="11"/>
    <x v="4"/>
    <n v="587.73530000000005"/>
    <n v="122.86879999999999"/>
    <n v="4.8353999999999999"/>
    <n v="366.94729999999998"/>
    <n v="93.083699999999993"/>
    <n v="2004.655"/>
    <n v="297.21600000000001"/>
    <n v="5.2969999999999997"/>
    <n v="1619.404"/>
    <n v="82.738"/>
    <n v="293"/>
    <n v="413"/>
    <n v="913"/>
    <n v="227"/>
    <n v="1125"/>
  </r>
  <r>
    <d v="2000-01-01T00:00:00"/>
    <x v="0"/>
    <x v="5"/>
    <n v="456.24560000000002"/>
    <n v="108.3258"/>
    <n v="0.6069"/>
    <n v="294.7799"/>
    <n v="52.533000000000001"/>
    <n v="1236.0250000000001"/>
    <n v="273.19600000000003"/>
    <n v="1.4359999999999999"/>
    <n v="890.11400000000003"/>
    <n v="71.278999999999996"/>
    <n v="369"/>
    <n v="397"/>
    <n v="423"/>
    <n v="331"/>
    <n v="737"/>
  </r>
  <r>
    <d v="2000-02-01T00:00:00"/>
    <x v="1"/>
    <x v="5"/>
    <n v="447.18700000000001"/>
    <n v="104.20780000000001"/>
    <n v="0.46479999999999999"/>
    <n v="306.51979999999998"/>
    <n v="35.994599999999998"/>
    <n v="1235.9960000000001"/>
    <n v="259.31599999999997"/>
    <n v="0.626"/>
    <n v="929.96600000000001"/>
    <n v="46.088000000000001"/>
    <n v="362"/>
    <n v="402"/>
    <n v="743"/>
    <n v="330"/>
    <n v="781"/>
  </r>
  <r>
    <d v="2000-03-01T00:00:00"/>
    <x v="2"/>
    <x v="5"/>
    <n v="494.4502"/>
    <n v="117.0774"/>
    <n v="1.0387999999999999"/>
    <n v="339.76920000000001"/>
    <n v="36.564700000000002"/>
    <n v="1384.829"/>
    <n v="310.78500000000003"/>
    <n v="1.339"/>
    <n v="1020.7670000000001"/>
    <n v="51.939"/>
    <n v="357"/>
    <n v="377"/>
    <n v="776"/>
    <n v="333"/>
    <n v="704"/>
  </r>
  <r>
    <d v="2000-04-01T00:00:00"/>
    <x v="3"/>
    <x v="5"/>
    <n v="498.83080000000001"/>
    <n v="116.79470000000001"/>
    <n v="0.77449999999999997"/>
    <n v="349.39699999999999"/>
    <n v="31.864599999999999"/>
    <n v="1391.4770000000001"/>
    <n v="308.072"/>
    <n v="1.4239999999999999"/>
    <n v="1037.414"/>
    <n v="44.566000000000003"/>
    <n v="358"/>
    <n v="379"/>
    <n v="544"/>
    <n v="337"/>
    <n v="715"/>
  </r>
  <r>
    <d v="2000-05-01T00:00:00"/>
    <x v="4"/>
    <x v="5"/>
    <n v="590.74959999999999"/>
    <n v="152.15219999999999"/>
    <n v="0.77449999999999997"/>
    <n v="395.40179999999998"/>
    <n v="42.421100000000003"/>
    <n v="1679.443"/>
    <n v="407.52600000000001"/>
    <n v="1.4239999999999999"/>
    <n v="1212.0609999999999"/>
    <n v="58.430999999999997"/>
    <n v="352"/>
    <n v="373"/>
    <n v="544"/>
    <n v="326"/>
    <n v="726"/>
  </r>
  <r>
    <d v="2000-06-01T00:00:00"/>
    <x v="5"/>
    <x v="5"/>
    <n v="541.57749999999999"/>
    <n v="136.34049999999999"/>
    <n v="0.77449999999999997"/>
    <n v="375.58319999999998"/>
    <n v="28.879200000000001"/>
    <n v="1482.547"/>
    <n v="348.40300000000002"/>
    <n v="1.4239999999999999"/>
    <n v="1095.2149999999999"/>
    <n v="37.505000000000003"/>
    <n v="365"/>
    <n v="391"/>
    <n v="544"/>
    <n v="343"/>
    <n v="770"/>
  </r>
  <r>
    <d v="2000-07-01T00:00:00"/>
    <x v="6"/>
    <x v="5"/>
    <n v="557.59799999999996"/>
    <n v="110.2178"/>
    <n v="0.70799999999999996"/>
    <n v="414.81389999999999"/>
    <n v="31.8583"/>
    <n v="1542.5129999999999"/>
    <n v="277.07"/>
    <n v="1.3160000000000001"/>
    <n v="1230.7460000000001"/>
    <n v="33.381999999999998"/>
    <n v="361"/>
    <n v="398"/>
    <n v="538"/>
    <n v="337"/>
    <n v="954"/>
  </r>
  <r>
    <d v="2000-08-01T00:00:00"/>
    <x v="7"/>
    <x v="5"/>
    <n v="608.06119999999999"/>
    <n v="138.28229999999999"/>
    <n v="0.70799999999999996"/>
    <n v="436.90699999999998"/>
    <n v="32.164000000000001"/>
    <n v="1655.58"/>
    <n v="329.89400000000001"/>
    <n v="1.3160000000000001"/>
    <n v="1278.683"/>
    <n v="45.688000000000002"/>
    <n v="367"/>
    <n v="419"/>
    <n v="538"/>
    <n v="342"/>
    <n v="704"/>
  </r>
  <r>
    <d v="2000-09-01T00:00:00"/>
    <x v="8"/>
    <x v="5"/>
    <n v="568.54930000000002"/>
    <n v="124.6318"/>
    <n v="0.70799999999999996"/>
    <n v="410.9375"/>
    <n v="32.271999999999998"/>
    <n v="1605.2470000000001"/>
    <n v="310.92"/>
    <n v="1.3160000000000001"/>
    <n v="1247.17"/>
    <n v="45.841000000000001"/>
    <n v="354"/>
    <n v="401"/>
    <n v="538"/>
    <n v="329"/>
    <n v="704"/>
  </r>
  <r>
    <d v="2000-10-01T00:00:00"/>
    <x v="9"/>
    <x v="5"/>
    <n v="559.52350000000001"/>
    <n v="106.6314"/>
    <n v="0.67749999999999999"/>
    <n v="428.47190000000001"/>
    <n v="23.742699999999999"/>
    <n v="1665.1790000000001"/>
    <n v="263.036"/>
    <n v="1.232"/>
    <n v="1340.0909999999999"/>
    <n v="60.82"/>
    <n v="336"/>
    <n v="405"/>
    <n v="550"/>
    <n v="320"/>
    <n v="390"/>
  </r>
  <r>
    <d v="2000-11-01T00:00:00"/>
    <x v="10"/>
    <x v="5"/>
    <n v="583.12180000000001"/>
    <n v="104.70310000000001"/>
    <n v="0.67749999999999999"/>
    <n v="431.35270000000003"/>
    <n v="46.388500000000001"/>
    <n v="1492.1980000000001"/>
    <n v="246.608"/>
    <n v="1.232"/>
    <n v="1178.4649999999999"/>
    <n v="65.893000000000001"/>
    <n v="391"/>
    <n v="425"/>
    <n v="550"/>
    <n v="366"/>
    <n v="704"/>
  </r>
  <r>
    <d v="2000-12-01T00:00:00"/>
    <x v="11"/>
    <x v="5"/>
    <n v="666.84849999999994"/>
    <n v="115.045"/>
    <n v="0.67749999999999999"/>
    <n v="458.04230000000001"/>
    <n v="93.083699999999993"/>
    <n v="1628.001"/>
    <n v="267.67899999999997"/>
    <n v="1.232"/>
    <n v="1276.3520000000001"/>
    <n v="82.738"/>
    <n v="410"/>
    <n v="430"/>
    <n v="550"/>
    <n v="359"/>
    <n v="1125"/>
  </r>
  <r>
    <d v="2001-01-01T00:00:00"/>
    <x v="0"/>
    <x v="6"/>
    <n v="654.98199999999997"/>
    <n v="71.500600000000006"/>
    <n v="1.7057"/>
    <n v="554.27570000000003"/>
    <n v="27.5"/>
    <n v="2061.018"/>
    <n v="159.55699999999999"/>
    <n v="2.044"/>
    <n v="1857.1089999999999"/>
    <n v="42.308"/>
    <n v="318"/>
    <n v="448"/>
    <n v="835"/>
    <n v="298"/>
    <n v="650"/>
  </r>
  <r>
    <d v="2001-02-01T00:00:00"/>
    <x v="1"/>
    <x v="6"/>
    <n v="637.67370000000005"/>
    <n v="55.078699999999998"/>
    <n v="0.95699999999999996"/>
    <n v="557.43809999999996"/>
    <n v="24.2"/>
    <n v="2073.5439999999999"/>
    <n v="138.441"/>
    <n v="0.89700000000000002"/>
    <n v="1896.9749999999999"/>
    <n v="37.231000000000002"/>
    <n v="308"/>
    <n v="398"/>
    <n v="1067"/>
    <n v="294"/>
    <n v="650"/>
  </r>
  <r>
    <d v="2001-03-01T00:00:00"/>
    <x v="2"/>
    <x v="6"/>
    <n v="718.05499999999995"/>
    <n v="72.762200000000007"/>
    <n v="0.63770000000000004"/>
    <n v="620.45510000000002"/>
    <n v="24.2"/>
    <n v="2247.5149999999999"/>
    <n v="177.92500000000001"/>
    <n v="0.42399999999999999"/>
    <n v="2031.9349999999999"/>
    <n v="37.231000000000002"/>
    <n v="319"/>
    <n v="409"/>
    <n v="1505"/>
    <n v="305"/>
    <n v="650"/>
  </r>
  <r>
    <d v="2001-04-01T00:00:00"/>
    <x v="3"/>
    <x v="6"/>
    <n v="734.80579999999998"/>
    <n v="90.616100000000003"/>
    <n v="0.11459999999999999"/>
    <n v="633.24680000000001"/>
    <n v="10.8283"/>
    <n v="2323.7669999999998"/>
    <n v="217.71899999999999"/>
    <n v="0.19900000000000001"/>
    <n v="2081.4830000000002"/>
    <n v="24.366"/>
    <n v="316"/>
    <n v="416"/>
    <n v="575"/>
    <n v="304"/>
    <n v="444"/>
  </r>
  <r>
    <d v="2001-05-01T00:00:00"/>
    <x v="4"/>
    <x v="6"/>
    <n v="798.24379999999996"/>
    <n v="80.641599999999997"/>
    <n v="1.2052"/>
    <n v="700.05340000000001"/>
    <n v="16.343599999999999"/>
    <n v="2569.346"/>
    <n v="184.12899999999999"/>
    <n v="0.872"/>
    <n v="2349.4670000000001"/>
    <n v="34.877000000000002"/>
    <n v="311"/>
    <n v="438"/>
    <n v="1382"/>
    <n v="298"/>
    <n v="469"/>
  </r>
  <r>
    <d v="2001-06-01T00:00:00"/>
    <x v="5"/>
    <x v="6"/>
    <n v="747.83699999999999"/>
    <n v="67.357699999999994"/>
    <n v="1.2052"/>
    <n v="668.27409999999998"/>
    <n v="11"/>
    <n v="2347.1689999999999"/>
    <n v="153.852"/>
    <n v="0.872"/>
    <n v="2167.7530000000002"/>
    <n v="24.690999999999999"/>
    <n v="319"/>
    <n v="438"/>
    <n v="1382"/>
    <n v="308"/>
    <n v="446"/>
  </r>
  <r>
    <d v="2001-07-01T00:00:00"/>
    <x v="6"/>
    <x v="6"/>
    <n v="796.5951"/>
    <n v="77.811599999999999"/>
    <n v="0.7"/>
    <n v="702.87940000000003"/>
    <n v="15.2042"/>
    <n v="2423.8739999999998"/>
    <n v="185.708"/>
    <n v="0.85299999999999998"/>
    <n v="2203.8980000000001"/>
    <n v="33.415999999999997"/>
    <n v="329"/>
    <n v="419"/>
    <n v="821"/>
    <n v="319"/>
    <n v="455"/>
  </r>
  <r>
    <d v="2001-08-01T00:00:00"/>
    <x v="7"/>
    <x v="6"/>
    <n v="789.3075"/>
    <n v="60"/>
    <n v="0.7"/>
    <n v="708.82510000000002"/>
    <n v="19.782399999999999"/>
    <n v="2414.377"/>
    <n v="143.19800000000001"/>
    <n v="0.85299999999999998"/>
    <n v="2226.8490000000002"/>
    <n v="43.478000000000002"/>
    <n v="327"/>
    <n v="419"/>
    <n v="821"/>
    <n v="318"/>
    <n v="455"/>
  </r>
  <r>
    <d v="2001-09-01T00:00:00"/>
    <x v="8"/>
    <x v="6"/>
    <n v="772.08029999999997"/>
    <n v="52.5214"/>
    <n v="0.7"/>
    <n v="707.85879999999997"/>
    <n v="11"/>
    <n v="2324.1469999999999"/>
    <n v="125.349"/>
    <n v="0.85299999999999998"/>
    <n v="2173.7689999999998"/>
    <n v="24.175999999999998"/>
    <n v="332"/>
    <n v="419"/>
    <n v="821"/>
    <n v="326"/>
    <n v="455"/>
  </r>
  <r>
    <d v="2001-10-01T00:00:00"/>
    <x v="9"/>
    <x v="6"/>
    <n v="792.82950000000005"/>
    <n v="60.800400000000003"/>
    <n v="0.7"/>
    <n v="708.48490000000004"/>
    <n v="22.844200000000001"/>
    <n v="2440.3009999999999"/>
    <n v="145.108"/>
    <n v="0.75"/>
    <n v="2244.2359999999999"/>
    <n v="50.207000000000001"/>
    <n v="325"/>
    <n v="419"/>
    <n v="933"/>
    <n v="316"/>
    <n v="455"/>
  </r>
  <r>
    <d v="2001-11-01T00:00:00"/>
    <x v="10"/>
    <x v="6"/>
    <n v="693.82240000000002"/>
    <n v="49.016300000000001"/>
    <n v="0.75039999999999996"/>
    <n v="619.29629999999997"/>
    <n v="24.759399999999999"/>
    <n v="2158.431"/>
    <n v="116.98399999999999"/>
    <n v="0.78"/>
    <n v="1986.25"/>
    <n v="54.415999999999997"/>
    <n v="321"/>
    <n v="419"/>
    <n v="962"/>
    <n v="312"/>
    <n v="455"/>
  </r>
  <r>
    <d v="2001-12-01T00:00:00"/>
    <x v="11"/>
    <x v="6"/>
    <n v="759.03179999999998"/>
    <n v="65.1815"/>
    <n v="0.80249999999999999"/>
    <n v="602.44510000000002"/>
    <n v="90.602699999999999"/>
    <n v="2360.7849999999999"/>
    <n v="155.56399999999999"/>
    <n v="0.84"/>
    <n v="2026.729"/>
    <n v="177.65199999999999"/>
    <n v="322"/>
    <n v="419"/>
    <n v="955"/>
    <n v="297"/>
    <n v="510"/>
  </r>
  <r>
    <d v="2002-01-01T00:00:00"/>
    <x v="0"/>
    <x v="7"/>
    <n v="711.04300000000001"/>
    <n v="65.388999999999996"/>
    <n v="1.782"/>
    <n v="615.327"/>
    <n v="28.545000000000002"/>
    <n v="2225.2020000000002"/>
    <n v="151.32300000000001"/>
    <n v="2.1150000000000002"/>
    <n v="2030.3340000000001"/>
    <n v="41.43"/>
    <n v="320"/>
    <n v="432"/>
    <n v="843"/>
    <n v="303"/>
    <n v="689"/>
  </r>
  <r>
    <d v="2002-02-01T00:00:00"/>
    <x v="1"/>
    <x v="7"/>
    <n v="718.86500000000001"/>
    <n v="55.804000000000002"/>
    <n v="1"/>
    <n v="637.01400000000001"/>
    <n v="25.047000000000001"/>
    <n v="2262.8290000000002"/>
    <n v="133.636"/>
    <n v="0.92900000000000005"/>
    <n v="2088.8200000000002"/>
    <n v="39.444000000000003"/>
    <n v="318"/>
    <n v="418"/>
    <n v="1076"/>
    <n v="305"/>
    <n v="635"/>
  </r>
  <r>
    <d v="2002-03-01T00:00:00"/>
    <x v="2"/>
    <x v="7"/>
    <n v="744.52700000000004"/>
    <n v="62.045000000000002"/>
    <n v="0.67200000000000004"/>
    <n v="650.18499999999995"/>
    <n v="31.625"/>
    <n v="2301.491"/>
    <n v="144.61600000000001"/>
    <n v="0.44500000000000001"/>
    <n v="2106.627"/>
    <n v="49.802999999999997"/>
    <n v="323"/>
    <n v="429"/>
    <n v="1510"/>
    <n v="309"/>
    <n v="635"/>
  </r>
  <r>
    <d v="2002-04-01T00:00:00"/>
    <x v="3"/>
    <x v="7"/>
    <n v="805.87199999999996"/>
    <n v="66.373999999999995"/>
    <n v="0.73899999999999999"/>
    <n v="720.94600000000003"/>
    <n v="17.812999999999999"/>
    <n v="2496.5169999999998"/>
    <n v="165.41300000000001"/>
    <n v="0.77500000000000002"/>
    <n v="2302.2779999999998"/>
    <n v="28.050999999999998"/>
    <n v="323"/>
    <n v="401"/>
    <n v="954"/>
    <n v="313"/>
    <n v="635"/>
  </r>
  <r>
    <d v="2002-05-01T00:00:00"/>
    <x v="4"/>
    <x v="7"/>
    <n v="912.20500000000004"/>
    <n v="69.605999999999995"/>
    <n v="0.126"/>
    <n v="820.52800000000002"/>
    <n v="21.945"/>
    <n v="2765.6559999999999"/>
    <n v="191.661"/>
    <n v="0.14099999999999999"/>
    <n v="2542.7260000000001"/>
    <n v="31.128"/>
    <n v="330"/>
    <n v="363"/>
    <n v="894"/>
    <n v="323"/>
    <n v="705"/>
  </r>
  <r>
    <d v="2002-06-01T00:00:00"/>
    <x v="5"/>
    <x v="7"/>
    <n v="860.00300000000004"/>
    <n v="57.656999999999996"/>
    <n v="1.145"/>
    <n v="784.74199999999996"/>
    <n v="16.459"/>
    <n v="2514.8310000000001"/>
    <n v="155.60300000000001"/>
    <n v="0.91600000000000004"/>
    <n v="2332.991"/>
    <n v="25.321000000000002"/>
    <n v="342"/>
    <n v="371"/>
    <n v="1250"/>
    <n v="336"/>
    <n v="650"/>
  </r>
  <r>
    <d v="2002-07-01T00:00:00"/>
    <x v="6"/>
    <x v="7"/>
    <n v="843.07380000000001"/>
    <n v="56.333100000000002"/>
    <n v="0.66500000000000004"/>
    <n v="769.52070000000003"/>
    <n v="16.555"/>
    <n v="2491.2730000000001"/>
    <n v="154.52600000000001"/>
    <n v="0.69899999999999995"/>
    <n v="2310.5790000000002"/>
    <n v="25.469000000000001"/>
    <n v="338"/>
    <n v="365"/>
    <n v="951"/>
    <n v="333"/>
    <n v="650"/>
  </r>
  <r>
    <d v="2002-08-01T00:00:00"/>
    <x v="7"/>
    <x v="7"/>
    <n v="849.13760000000002"/>
    <n v="52.695599999999999"/>
    <n v="0.70179999999999998"/>
    <n v="777.97519999999997"/>
    <n v="17.765000000000001"/>
    <n v="2565.904"/>
    <n v="149.703"/>
    <n v="0.85099999999999998"/>
    <n v="2389.4160000000002"/>
    <n v="25.934000000000001"/>
    <n v="331"/>
    <n v="352"/>
    <n v="825"/>
    <n v="326"/>
    <n v="685"/>
  </r>
  <r>
    <d v="2002-09-01T00:00:00"/>
    <x v="8"/>
    <x v="7"/>
    <n v="860.59969999999998"/>
    <n v="51.996099999999998"/>
    <n v="0.66100000000000003"/>
    <n v="794.35749999999996"/>
    <n v="13.585000000000001"/>
    <n v="2505.3339999999998"/>
    <n v="141.90700000000001"/>
    <n v="0.71799999999999997"/>
    <n v="2343.8409999999999"/>
    <n v="18.867999999999999"/>
    <n v="344"/>
    <n v="366"/>
    <n v="921"/>
    <n v="339"/>
    <n v="720"/>
  </r>
  <r>
    <d v="2002-10-01T00:00:00"/>
    <x v="9"/>
    <x v="7"/>
    <n v="848.28300000000002"/>
    <n v="50.939"/>
    <n v="0.6"/>
    <n v="779.58399999999995"/>
    <n v="17.16"/>
    <n v="2615.0129999999999"/>
    <n v="121.57299999999999"/>
    <n v="0.65200000000000002"/>
    <n v="2467.5529999999999"/>
    <n v="25.234999999999999"/>
    <n v="324"/>
    <n v="419"/>
    <n v="920"/>
    <n v="316"/>
    <n v="680"/>
  </r>
  <r>
    <d v="2002-11-01T00:00:00"/>
    <x v="10"/>
    <x v="7"/>
    <n v="741.43799999999999"/>
    <n v="45.585999999999999"/>
    <n v="0.85"/>
    <n v="675.202"/>
    <n v="19.8"/>
    <n v="2305.502"/>
    <n v="108.797"/>
    <n v="0.97699999999999998"/>
    <n v="2168.4180000000001"/>
    <n v="27.31"/>
    <n v="322"/>
    <n v="419"/>
    <n v="870"/>
    <n v="311"/>
    <n v="725"/>
  </r>
  <r>
    <d v="2002-12-01T00:00:00"/>
    <x v="11"/>
    <x v="7"/>
    <n v="919.40099999999995"/>
    <n v="52.084000000000003"/>
    <n v="1.1200000000000001"/>
    <n v="772.697"/>
    <n v="93.5"/>
    <n v="2904.299"/>
    <n v="161.25"/>
    <n v="1.244"/>
    <n v="2620.3760000000002"/>
    <n v="121.429"/>
    <n v="317"/>
    <n v="323"/>
    <n v="900"/>
    <n v="295"/>
    <n v="770"/>
  </r>
  <r>
    <d v="2003-01-01T00:00:00"/>
    <x v="0"/>
    <x v="8"/>
    <n v="1051.2547"/>
    <n v="116.5441"/>
    <n v="1.2"/>
    <n v="914.51160000000004"/>
    <n v="18.998999999999999"/>
    <n v="3443.3760000000002"/>
    <n v="334.45699999999999"/>
    <n v="1.3"/>
    <n v="3079.6190000000001"/>
    <n v="28"/>
    <n v="305"/>
    <n v="348"/>
    <n v="923"/>
    <n v="297"/>
    <n v="679"/>
  </r>
  <r>
    <d v="2003-02-01T00:00:00"/>
    <x v="1"/>
    <x v="8"/>
    <n v="979.75969999999995"/>
    <n v="102.46299999999999"/>
    <n v="1.3"/>
    <n v="855.37170000000003"/>
    <n v="20.625"/>
    <n v="3168.45"/>
    <n v="288.76400000000001"/>
    <n v="1.4"/>
    <n v="2847.73"/>
    <n v="30.556000000000001"/>
    <n v="309"/>
    <n v="355"/>
    <n v="929"/>
    <n v="300"/>
    <n v="675"/>
  </r>
  <r>
    <d v="2003-03-01T00:00:00"/>
    <x v="2"/>
    <x v="8"/>
    <n v="1139.1124"/>
    <n v="130.94290000000001"/>
    <n v="1.7"/>
    <n v="990.57449999999994"/>
    <n v="15.895"/>
    <n v="3717.1089999999999"/>
    <n v="364.94499999999999"/>
    <n v="1.8"/>
    <n v="3330.098"/>
    <n v="20.265999999999998"/>
    <n v="306"/>
    <n v="359"/>
    <n v="944"/>
    <n v="297"/>
    <n v="784"/>
  </r>
  <r>
    <d v="2003-04-01T00:00:00"/>
    <x v="3"/>
    <x v="8"/>
    <n v="1202.5097000000001"/>
    <n v="136.05109999999999"/>
    <n v="1.8217000000000001"/>
    <n v="1048.6369999999999"/>
    <n v="16"/>
    <n v="3801.3310000000001"/>
    <n v="379.149"/>
    <n v="1.863"/>
    <n v="3399.319"/>
    <n v="21"/>
    <n v="316"/>
    <n v="359"/>
    <n v="978"/>
    <n v="308"/>
    <n v="762"/>
  </r>
  <r>
    <d v="2003-05-01T00:00:00"/>
    <x v="4"/>
    <x v="8"/>
    <n v="1350.9668999999999"/>
    <n v="170.8914"/>
    <n v="0.4"/>
    <n v="1159.6755000000001"/>
    <n v="20"/>
    <n v="4470.8320000000003"/>
    <n v="483.42500000000001"/>
    <n v="0.5"/>
    <n v="3960.9070000000002"/>
    <n v="26"/>
    <n v="302"/>
    <n v="354"/>
    <n v="800"/>
    <n v="293"/>
    <n v="769"/>
  </r>
  <r>
    <d v="2003-06-01T00:00:00"/>
    <x v="5"/>
    <x v="8"/>
    <n v="1351.1706999999999"/>
    <n v="160.011"/>
    <n v="0"/>
    <n v="1181.6596"/>
    <n v="9.5"/>
    <n v="4205.9579999999996"/>
    <n v="426.60300000000001"/>
    <n v="0"/>
    <n v="3767.355"/>
    <n v="12"/>
    <n v="321"/>
    <n v="375"/>
    <n v="0"/>
    <n v="314"/>
    <n v="792"/>
  </r>
  <r>
    <d v="2003-07-01T00:00:00"/>
    <x v="6"/>
    <x v="8"/>
    <n v="1361.3620000000001"/>
    <n v="160.58449999999999"/>
    <n v="0"/>
    <n v="1180.4055000000001"/>
    <n v="20.372"/>
    <n v="4156.7950000000001"/>
    <n v="422.40600000000001"/>
    <n v="0"/>
    <n v="3707.0430000000001"/>
    <n v="27.346"/>
    <n v="328"/>
    <n v="380"/>
    <n v="0"/>
    <n v="318"/>
    <n v="745"/>
  </r>
  <r>
    <d v="2003-08-01T00:00:00"/>
    <x v="7"/>
    <x v="8"/>
    <n v="1401.2462"/>
    <n v="154.90010000000001"/>
    <n v="0"/>
    <n v="1228.3461"/>
    <n v="18"/>
    <n v="4277.5429999999997"/>
    <n v="391.96300000000002"/>
    <n v="0"/>
    <n v="3861.88"/>
    <n v="23.7"/>
    <n v="328"/>
    <n v="395"/>
    <n v="0"/>
    <n v="318"/>
    <n v="759"/>
  </r>
  <r>
    <d v="2003-09-01T00:00:00"/>
    <x v="8"/>
    <x v="8"/>
    <n v="1365.5084999999999"/>
    <n v="147.29599999999999"/>
    <n v="0"/>
    <n v="1201.2125000000001"/>
    <n v="17"/>
    <n v="4259.6729999999998"/>
    <n v="368.91"/>
    <n v="0"/>
    <n v="3867.7629999999999"/>
    <n v="23"/>
    <n v="321"/>
    <n v="399"/>
    <n v="0"/>
    <n v="311"/>
    <n v="739"/>
  </r>
  <r>
    <d v="2003-10-01T00:00:00"/>
    <x v="9"/>
    <x v="8"/>
    <n v="1391.0111999999999"/>
    <n v="139.1831"/>
    <n v="0"/>
    <n v="1239.1280999999999"/>
    <n v="12.7"/>
    <n v="4365.7160000000003"/>
    <n v="382.18799999999999"/>
    <n v="0"/>
    <n v="3966.011"/>
    <n v="17.516999999999999"/>
    <n v="319"/>
    <n v="364"/>
    <n v="0"/>
    <n v="312"/>
    <n v="725"/>
  </r>
  <r>
    <d v="2003-11-01T00:00:00"/>
    <x v="10"/>
    <x v="8"/>
    <n v="1203.7084"/>
    <n v="114.48909999999999"/>
    <n v="0"/>
    <n v="1078.2193"/>
    <n v="11"/>
    <n v="3828.2539999999999"/>
    <n v="301.245"/>
    <n v="0"/>
    <n v="3512.009"/>
    <n v="15"/>
    <n v="314"/>
    <n v="380"/>
    <n v="0"/>
    <n v="307"/>
    <n v="733"/>
  </r>
  <r>
    <d v="2003-12-01T00:00:00"/>
    <x v="11"/>
    <x v="8"/>
    <n v="1341.0761"/>
    <n v="131.9213"/>
    <n v="0"/>
    <n v="1134.6548"/>
    <n v="74.5"/>
    <n v="4290.8990000000003"/>
    <n v="353.99400000000003"/>
    <n v="0"/>
    <n v="3833"/>
    <n v="103.905"/>
    <n v="313"/>
    <n v="373"/>
    <n v="0"/>
    <n v="296"/>
    <n v="717"/>
  </r>
  <r>
    <d v="2004-01-01T00:00:00"/>
    <x v="0"/>
    <x v="9"/>
    <n v="1081.8634999999999"/>
    <n v="128.4658"/>
    <n v="0"/>
    <n v="938.37339999999995"/>
    <n v="15.0244"/>
    <n v="3559.8829999999998"/>
    <n v="335.18"/>
    <n v="0"/>
    <n v="3207.3139999999999"/>
    <n v="17.388999999999999"/>
    <n v="304"/>
    <n v="383"/>
    <n v="0"/>
    <n v="293"/>
    <n v="864"/>
  </r>
  <r>
    <d v="2004-02-01T00:00:00"/>
    <x v="1"/>
    <x v="9"/>
    <n v="1171.7737"/>
    <n v="127.21680000000001"/>
    <n v="0"/>
    <n v="1026.5277000000001"/>
    <n v="18.029199999999999"/>
    <n v="3763.9679999999998"/>
    <n v="322.20100000000002"/>
    <n v="0"/>
    <n v="3418.3519999999999"/>
    <n v="23.414999999999999"/>
    <n v="311"/>
    <n v="395"/>
    <n v="0"/>
    <n v="300"/>
    <n v="770"/>
  </r>
  <r>
    <d v="2004-03-01T00:00:00"/>
    <x v="2"/>
    <x v="9"/>
    <n v="1480.2239999999999"/>
    <n v="164.25839999999999"/>
    <n v="0"/>
    <n v="1303.4372000000001"/>
    <n v="12.528499999999999"/>
    <n v="4606.875"/>
    <n v="393.34199999999998"/>
    <n v="0"/>
    <n v="4196.9390000000003"/>
    <n v="16.594000000000001"/>
    <n v="321"/>
    <n v="418"/>
    <n v="0"/>
    <n v="311"/>
    <n v="755"/>
  </r>
  <r>
    <d v="2004-04-01T00:00:00"/>
    <x v="3"/>
    <x v="9"/>
    <n v="1513.5151000000001"/>
    <n v="163.33160000000001"/>
    <n v="0"/>
    <n v="1337.4409000000001"/>
    <n v="12.742599999999999"/>
    <n v="4583.33"/>
    <n v="399.24799999999999"/>
    <n v="0"/>
    <n v="4167.3590000000004"/>
    <n v="16.722999999999999"/>
    <n v="330"/>
    <n v="409"/>
    <n v="0"/>
    <n v="321"/>
    <n v="762"/>
  </r>
  <r>
    <d v="2004-05-01T00:00:00"/>
    <x v="4"/>
    <x v="9"/>
    <n v="1770.3978"/>
    <n v="177.15270000000001"/>
    <n v="0"/>
    <n v="1575.8351"/>
    <n v="17.41"/>
    <n v="5588.3789999999999"/>
    <n v="468.005"/>
    <n v="0"/>
    <n v="5098.7470000000003"/>
    <n v="21.626999999999999"/>
    <n v="317"/>
    <n v="379"/>
    <n v="0"/>
    <n v="309"/>
    <n v="805"/>
  </r>
  <r>
    <d v="2004-06-01T00:00:00"/>
    <x v="5"/>
    <x v="9"/>
    <n v="1684.7248"/>
    <n v="171.28550000000001"/>
    <n v="0"/>
    <n v="1500.6967"/>
    <n v="12.742599999999999"/>
    <n v="5181.2089999999998"/>
    <n v="456.30200000000002"/>
    <n v="0"/>
    <n v="4708.1840000000002"/>
    <n v="16.722999999999999"/>
    <n v="325"/>
    <n v="375"/>
    <n v="0"/>
    <n v="319"/>
    <n v="762"/>
  </r>
  <r>
    <d v="2004-07-01T00:00:00"/>
    <x v="6"/>
    <x v="9"/>
    <n v="1654.376"/>
    <n v="161.76480000000001"/>
    <n v="0"/>
    <n v="1476.5385000000001"/>
    <n v="16.072800000000001"/>
    <n v="4982.5410000000002"/>
    <n v="386.512"/>
    <n v="0"/>
    <n v="4575.5540000000001"/>
    <n v="20.475000000000001"/>
    <n v="332"/>
    <n v="419"/>
    <n v="0"/>
    <n v="323"/>
    <n v="785"/>
  </r>
  <r>
    <d v="2004-08-01T00:00:00"/>
    <x v="7"/>
    <x v="9"/>
    <n v="1786.8078"/>
    <n v="163.12479999999999"/>
    <n v="0"/>
    <n v="1612.2292"/>
    <n v="11.453799999999999"/>
    <n v="5451.3029999999999"/>
    <n v="394.70499999999998"/>
    <n v="0"/>
    <n v="5038.0789999999997"/>
    <n v="18.518999999999998"/>
    <n v="328"/>
    <n v="413"/>
    <n v="0"/>
    <n v="320"/>
    <n v="619"/>
  </r>
  <r>
    <d v="2004-09-01T00:00:00"/>
    <x v="8"/>
    <x v="9"/>
    <n v="1586.8407"/>
    <n v="152.2337"/>
    <n v="0"/>
    <n v="1424.1306"/>
    <n v="10.4765"/>
    <n v="4806.9459999999999"/>
    <n v="355.863"/>
    <n v="0"/>
    <n v="4437.9049999999997"/>
    <n v="13.178000000000001"/>
    <n v="330"/>
    <n v="428"/>
    <n v="0"/>
    <n v="321"/>
    <n v="795"/>
  </r>
  <r>
    <d v="2004-10-01T00:00:00"/>
    <x v="9"/>
    <x v="9"/>
    <n v="1529.9476999999999"/>
    <n v="152.42910000000001"/>
    <n v="0"/>
    <n v="1361.5532000000001"/>
    <n v="15.965400000000001"/>
    <n v="4744.8689999999997"/>
    <n v="362.774"/>
    <n v="0"/>
    <n v="4357.9780000000001"/>
    <n v="24.117000000000001"/>
    <n v="322"/>
    <n v="420"/>
    <n v="0"/>
    <n v="312"/>
    <n v="662"/>
  </r>
  <r>
    <d v="2004-11-01T00:00:00"/>
    <x v="10"/>
    <x v="9"/>
    <n v="1506.1643999999999"/>
    <n v="143.4161"/>
    <n v="0"/>
    <n v="1346.7829999999999"/>
    <n v="15.965400000000001"/>
    <n v="4666.32"/>
    <n v="329.70600000000002"/>
    <n v="0"/>
    <n v="4312.4970000000003"/>
    <n v="24.117000000000001"/>
    <n v="323"/>
    <n v="435"/>
    <n v="0"/>
    <n v="312"/>
    <n v="662"/>
  </r>
  <r>
    <d v="2004-12-01T00:00:00"/>
    <x v="11"/>
    <x v="9"/>
    <n v="1565.1123"/>
    <n v="164.9872"/>
    <n v="0"/>
    <n v="1324.9250999999999"/>
    <n v="75.2"/>
    <n v="5077.7749999999996"/>
    <n v="398.98899999999998"/>
    <n v="0"/>
    <n v="4569.0050000000001"/>
    <n v="109.78100000000001"/>
    <n v="308"/>
    <n v="414"/>
    <n v="0"/>
    <n v="290"/>
    <n v="685"/>
  </r>
  <r>
    <d v="2005-01-01T00:00:00"/>
    <x v="0"/>
    <x v="10"/>
    <n v="1367.5563"/>
    <n v="142.81809999999999"/>
    <n v="0"/>
    <n v="1209.7138"/>
    <n v="15.0244"/>
    <n v="4292.1450000000004"/>
    <n v="331.01900000000001"/>
    <n v="0"/>
    <n v="3943.7370000000001"/>
    <n v="17.388999999999999"/>
    <n v="319"/>
    <n v="431"/>
    <n v="0"/>
    <n v="307"/>
    <n v="864"/>
  </r>
  <r>
    <d v="2005-02-01T00:00:00"/>
    <x v="1"/>
    <x v="10"/>
    <n v="1428.377"/>
    <n v="125.91540000000001"/>
    <n v="0"/>
    <n v="1280.4639"/>
    <n v="21.997699999999998"/>
    <n v="4426.62"/>
    <n v="298.15899999999999"/>
    <n v="0"/>
    <n v="4100.1859999999997"/>
    <n v="28.274999999999999"/>
    <n v="323"/>
    <n v="422"/>
    <n v="0"/>
    <n v="312"/>
    <n v="778"/>
  </r>
  <r>
    <d v="2005-03-01T00:00:00"/>
    <x v="2"/>
    <x v="10"/>
    <n v="1691.5896"/>
    <n v="152.36670000000001"/>
    <n v="0"/>
    <n v="1526.0637999999999"/>
    <n v="13.1591"/>
    <n v="5128.2020000000002"/>
    <n v="358.27600000000001"/>
    <n v="0"/>
    <n v="4752.6570000000002"/>
    <n v="17.268999999999998"/>
    <n v="330"/>
    <n v="425"/>
    <n v="0"/>
    <n v="321"/>
    <n v="762"/>
  </r>
  <r>
    <d v="2005-04-01T00:00:00"/>
    <x v="3"/>
    <x v="10"/>
    <n v="1753.3032000000001"/>
    <n v="141.43950000000001"/>
    <n v="0"/>
    <n v="1589.6896999999999"/>
    <n v="22.173999999999999"/>
    <n v="5229.634"/>
    <n v="326.74599999999998"/>
    <n v="0"/>
    <n v="4874.8549999999996"/>
    <n v="28.033000000000001"/>
    <n v="335"/>
    <n v="433"/>
    <n v="0"/>
    <n v="326"/>
    <n v="791"/>
  </r>
  <r>
    <d v="2005-05-01T00:00:00"/>
    <x v="4"/>
    <x v="10"/>
    <n v="2057.2773000000002"/>
    <n v="158.3554"/>
    <n v="0"/>
    <n v="1883.4695999999999"/>
    <n v="15.452299999999999"/>
    <n v="6365.6310000000003"/>
    <n v="407.27"/>
    <n v="0"/>
    <n v="5939.3779999999997"/>
    <n v="18.983000000000001"/>
    <n v="323"/>
    <n v="389"/>
    <n v="0"/>
    <n v="317"/>
    <n v="814"/>
  </r>
  <r>
    <d v="2005-06-01T00:00:00"/>
    <x v="5"/>
    <x v="10"/>
    <n v="1923.2801999999999"/>
    <n v="155.83869999999999"/>
    <n v="0"/>
    <n v="1755.4413999999999"/>
    <n v="12"/>
    <n v="5702.299"/>
    <n v="361.74200000000002"/>
    <n v="0"/>
    <n v="5325.1719999999996"/>
    <n v="15.385"/>
    <n v="337"/>
    <n v="431"/>
    <n v="0"/>
    <n v="330"/>
    <n v="780"/>
  </r>
  <r>
    <d v="2005-07-01T00:00:00"/>
    <x v="6"/>
    <x v="10"/>
    <n v="1840.3006"/>
    <n v="144.9324"/>
    <n v="0"/>
    <n v="1675.3683000000001"/>
    <n v="20"/>
    <n v="5362.1540000000005"/>
    <n v="322.87799999999999"/>
    <n v="0"/>
    <n v="5013.96"/>
    <n v="25.315999999999999"/>
    <n v="343"/>
    <n v="449"/>
    <n v="0"/>
    <n v="334"/>
    <n v="790"/>
  </r>
  <r>
    <d v="2005-08-01T00:00:00"/>
    <x v="7"/>
    <x v="10"/>
    <n v="2059.2229000000002"/>
    <n v="160.1523"/>
    <n v="0"/>
    <n v="1878.6063999999999"/>
    <n v="20.464200000000002"/>
    <n v="5937.0029999999997"/>
    <n v="363.42500000000001"/>
    <n v="0"/>
    <n v="5548.6949999999997"/>
    <n v="24.882999999999999"/>
    <n v="347"/>
    <n v="441"/>
    <n v="0"/>
    <n v="339"/>
    <n v="822"/>
  </r>
  <r>
    <d v="2005-09-01T00:00:00"/>
    <x v="8"/>
    <x v="10"/>
    <n v="1885.9905000000001"/>
    <n v="138.2636"/>
    <n v="0"/>
    <n v="1732.8538000000001"/>
    <n v="14.873100000000001"/>
    <n v="5580.0029999999997"/>
    <n v="365.42700000000002"/>
    <n v="0"/>
    <n v="5195.9380000000001"/>
    <n v="18.638000000000002"/>
    <n v="338"/>
    <n v="378"/>
    <n v="0"/>
    <n v="334"/>
    <n v="798"/>
  </r>
  <r>
    <d v="2005-10-01T00:00:00"/>
    <x v="9"/>
    <x v="10"/>
    <n v="1862.2775999999999"/>
    <n v="135.23400000000001"/>
    <n v="0"/>
    <n v="1710.8652"/>
    <n v="16.1784"/>
    <n v="5512.9769999999999"/>
    <n v="299.57"/>
    <n v="0"/>
    <n v="5192.3770000000004"/>
    <n v="21.03"/>
    <n v="338"/>
    <n v="451"/>
    <n v="0"/>
    <n v="329"/>
    <n v="769"/>
  </r>
  <r>
    <d v="2005-11-01T00:00:00"/>
    <x v="10"/>
    <x v="10"/>
    <n v="1886.9538"/>
    <n v="130.09110000000001"/>
    <n v="0"/>
    <n v="1736.0231000000001"/>
    <n v="20.839700000000001"/>
    <n v="5542.2039999999997"/>
    <n v="281.78300000000002"/>
    <n v="0"/>
    <n v="5232.598"/>
    <n v="27.823"/>
    <n v="340"/>
    <n v="462"/>
    <n v="0"/>
    <n v="332"/>
    <n v="749"/>
  </r>
  <r>
    <d v="2005-12-01T00:00:00"/>
    <x v="11"/>
    <x v="10"/>
    <n v="1932.1420000000001"/>
    <n v="162.46100000000001"/>
    <n v="0"/>
    <n v="1688.681"/>
    <n v="81"/>
    <n v="5842.8280000000004"/>
    <n v="350.61200000000002"/>
    <n v="0"/>
    <n v="5389.8140000000003"/>
    <n v="102.402"/>
    <n v="331"/>
    <n v="463"/>
    <n v="0"/>
    <n v="313"/>
    <n v="791"/>
  </r>
  <r>
    <d v="2006-01-01T00:00:00"/>
    <x v="0"/>
    <x v="11"/>
    <n v="1758.3056999999999"/>
    <n v="130.1507"/>
    <n v="0"/>
    <n v="1611.0556999999999"/>
    <n v="17.099299999999999"/>
    <n v="5293.97"/>
    <n v="283.77300000000002"/>
    <n v="0"/>
    <n v="4990.76"/>
    <n v="19.437000000000001"/>
    <n v="332"/>
    <n v="459"/>
    <n v="0"/>
    <n v="323"/>
    <n v="880"/>
  </r>
  <r>
    <d v="2006-02-01T00:00:00"/>
    <x v="1"/>
    <x v="11"/>
    <n v="1823.1898000000001"/>
    <n v="108.7512"/>
    <n v="0"/>
    <n v="1699.2707"/>
    <n v="15.1678"/>
    <n v="5364.6480000000001"/>
    <n v="233.65700000000001"/>
    <n v="0"/>
    <n v="5111.0209999999997"/>
    <n v="19.97"/>
    <n v="340"/>
    <n v="465"/>
    <n v="0"/>
    <n v="332"/>
    <n v="760"/>
  </r>
  <r>
    <d v="2006-03-01T00:00:00"/>
    <x v="2"/>
    <x v="11"/>
    <n v="2152.8362000000002"/>
    <n v="130.60419999999999"/>
    <n v="0"/>
    <n v="2005.3921"/>
    <n v="16.84"/>
    <n v="6155.674"/>
    <n v="294.96699999999998"/>
    <n v="0"/>
    <n v="5838.9139999999998"/>
    <n v="21.792999999999999"/>
    <n v="350"/>
    <n v="443"/>
    <n v="0"/>
    <n v="343"/>
    <n v="773"/>
  </r>
  <r>
    <d v="2006-04-01T00:00:00"/>
    <x v="3"/>
    <x v="11"/>
    <n v="2072.7017000000001"/>
    <n v="100.9622"/>
    <n v="0"/>
    <n v="1952.6704"/>
    <n v="19.069099999999999"/>
    <n v="5935.558"/>
    <n v="219.184"/>
    <n v="0"/>
    <n v="5690.2839999999997"/>
    <n v="26.09"/>
    <n v="349"/>
    <n v="461"/>
    <n v="0"/>
    <n v="343"/>
    <n v="731"/>
  </r>
  <r>
    <d v="2006-05-01T00:00:00"/>
    <x v="4"/>
    <x v="11"/>
    <n v="2534.5990000000002"/>
    <n v="127.9127"/>
    <n v="0"/>
    <n v="2365.5198999999998"/>
    <n v="41.166499999999999"/>
    <n v="7286.61"/>
    <n v="286.68299999999999"/>
    <n v="0"/>
    <n v="6933.1149999999998"/>
    <n v="66.811999999999998"/>
    <n v="348"/>
    <n v="446"/>
    <n v="0"/>
    <n v="341"/>
    <n v="616"/>
  </r>
  <r>
    <d v="2006-06-01T00:00:00"/>
    <x v="5"/>
    <x v="11"/>
    <n v="2340.2622999999999"/>
    <n v="120.89830000000001"/>
    <n v="0"/>
    <n v="2186.3497000000002"/>
    <n v="33.014299999999999"/>
    <n v="6629.665"/>
    <n v="267.05200000000002"/>
    <n v="0"/>
    <n v="6293.4960000000001"/>
    <n v="69.117000000000004"/>
    <n v="353"/>
    <n v="453"/>
    <n v="0"/>
    <n v="347"/>
    <n v="478"/>
  </r>
  <r>
    <d v="2006-07-01T00:00:00"/>
    <x v="6"/>
    <x v="11"/>
    <n v="2191.6469000000002"/>
    <n v="106.0077"/>
    <n v="0"/>
    <n v="2045.4146000000001"/>
    <n v="40.224699999999999"/>
    <n v="6312.8670000000002"/>
    <n v="229.15700000000001"/>
    <n v="0"/>
    <n v="6006.21"/>
    <n v="77.5"/>
    <n v="347"/>
    <n v="463"/>
    <n v="0"/>
    <n v="341"/>
    <n v="519"/>
  </r>
  <r>
    <d v="2006-08-01T00:00:00"/>
    <x v="7"/>
    <x v="11"/>
    <n v="2334.2835"/>
    <n v="112.337"/>
    <n v="0"/>
    <n v="2191.5940000000001"/>
    <n v="30.352399999999999"/>
    <n v="6624.7160000000003"/>
    <n v="231.22200000000001"/>
    <n v="0"/>
    <n v="6338.8360000000002"/>
    <n v="54.658000000000001"/>
    <n v="352"/>
    <n v="486"/>
    <n v="0"/>
    <n v="346"/>
    <n v="555"/>
  </r>
  <r>
    <d v="2006-09-01T00:00:00"/>
    <x v="8"/>
    <x v="11"/>
    <n v="2140.9585999999999"/>
    <n v="98.633700000000005"/>
    <n v="0"/>
    <n v="2017.6445000000001"/>
    <n v="24.680399999999999"/>
    <n v="6186.951"/>
    <n v="205.44300000000001"/>
    <n v="0"/>
    <n v="5931.7089999999998"/>
    <n v="49.798999999999999"/>
    <n v="346"/>
    <n v="480"/>
    <n v="0"/>
    <n v="340"/>
    <n v="496"/>
  </r>
  <r>
    <d v="2006-10-01T00:00:00"/>
    <x v="9"/>
    <x v="11"/>
    <n v="2316.5243999999998"/>
    <n v="120.2124"/>
    <n v="0"/>
    <n v="2167.1559999999999"/>
    <n v="29.155999999999999"/>
    <n v="6757.4390000000003"/>
    <n v="219.12899999999999"/>
    <n v="0"/>
    <n v="6482.5720000000001"/>
    <n v="55.738"/>
    <n v="343"/>
    <n v="549"/>
    <n v="0"/>
    <n v="334"/>
    <n v="523"/>
  </r>
  <r>
    <d v="2006-11-01T00:00:00"/>
    <x v="10"/>
    <x v="11"/>
    <n v="1962.8019999999999"/>
    <n v="98.956599999999995"/>
    <n v="0"/>
    <n v="1835.5853"/>
    <n v="28.260100000000001"/>
    <n v="5726.0630000000001"/>
    <n v="185.38900000000001"/>
    <n v="0"/>
    <n v="5479.22"/>
    <n v="61.454000000000001"/>
    <n v="343"/>
    <n v="534"/>
    <n v="0"/>
    <n v="335"/>
    <n v="460"/>
  </r>
  <r>
    <d v="2006-12-01T00:00:00"/>
    <x v="11"/>
    <x v="11"/>
    <n v="1938.7248999999999"/>
    <n v="104.28019999999999"/>
    <n v="0"/>
    <n v="1776.3068000000001"/>
    <n v="58.137999999999998"/>
    <n v="5910.4470000000001"/>
    <n v="188.96199999999999"/>
    <n v="0"/>
    <n v="5601.55"/>
    <n v="119.935"/>
    <n v="328"/>
    <n v="552"/>
    <n v="0"/>
    <n v="317"/>
    <n v="485"/>
  </r>
  <r>
    <d v="2007-01-01T00:00:00"/>
    <x v="0"/>
    <x v="12"/>
    <n v="1872.9292"/>
    <n v="102.7903"/>
    <n v="0"/>
    <n v="1733.3217"/>
    <n v="36.8172"/>
    <n v="5573.1220000000003"/>
    <n v="187.77600000000001"/>
    <n v="0"/>
    <n v="5322.4740000000002"/>
    <n v="62.872"/>
    <n v="336"/>
    <n v="547"/>
    <n v="0"/>
    <n v="326"/>
    <n v="586"/>
  </r>
  <r>
    <d v="2007-02-01T00:00:00"/>
    <x v="1"/>
    <x v="12"/>
    <n v="1856.7782"/>
    <n v="81.265900000000002"/>
    <n v="0"/>
    <n v="1751.3013000000001"/>
    <n v="24.210999999999999"/>
    <n v="5450.3519999999999"/>
    <n v="143.06100000000001"/>
    <n v="0"/>
    <n v="5260.6710000000003"/>
    <n v="46.62"/>
    <n v="341"/>
    <n v="568"/>
    <n v="0"/>
    <n v="333"/>
    <n v="519"/>
  </r>
  <r>
    <d v="2007-03-01T00:00:00"/>
    <x v="2"/>
    <x v="12"/>
    <n v="2186.5239000000001"/>
    <n v="82.413600000000002"/>
    <n v="0"/>
    <n v="2073.6296000000002"/>
    <n v="30.480699999999999"/>
    <n v="6244.9759999999997"/>
    <n v="146.88499999999999"/>
    <n v="0"/>
    <n v="6037.5309999999999"/>
    <n v="60.56"/>
    <n v="350"/>
    <n v="561"/>
    <n v="0"/>
    <n v="343"/>
    <n v="503"/>
  </r>
  <r>
    <d v="2007-04-01T00:00:00"/>
    <x v="3"/>
    <x v="12"/>
    <n v="2166.5639999999999"/>
    <n v="75.358599999999996"/>
    <n v="0"/>
    <n v="2059.1296000000002"/>
    <n v="32.075800000000001"/>
    <n v="6232.2510000000002"/>
    <n v="129.49700000000001"/>
    <n v="0"/>
    <n v="6043.7719999999999"/>
    <n v="58.981999999999999"/>
    <n v="348"/>
    <n v="582"/>
    <n v="0"/>
    <n v="341"/>
    <n v="544"/>
  </r>
  <r>
    <d v="2007-05-01T00:00:00"/>
    <x v="4"/>
    <x v="12"/>
    <n v="2480.6563999999998"/>
    <n v="85.017899999999997"/>
    <n v="0"/>
    <n v="2367.7561000000001"/>
    <n v="27.882400000000001"/>
    <n v="7359.1859999999997"/>
    <n v="175.54400000000001"/>
    <n v="0"/>
    <n v="7117.9080000000004"/>
    <n v="65.733999999999995"/>
    <n v="337"/>
    <n v="484"/>
    <n v="0"/>
    <n v="333"/>
    <n v="424"/>
  </r>
  <r>
    <d v="2007-06-01T00:00:00"/>
    <x v="5"/>
    <x v="12"/>
    <n v="2300.5754999999999"/>
    <n v="75.527900000000002"/>
    <n v="0"/>
    <n v="2193.1997999999999"/>
    <n v="31.847799999999999"/>
    <n v="6597.32"/>
    <n v="134.90600000000001"/>
    <n v="0"/>
    <n v="6393.2669999999998"/>
    <n v="69.147000000000006"/>
    <n v="349"/>
    <n v="560"/>
    <n v="0"/>
    <n v="343"/>
    <n v="461"/>
  </r>
  <r>
    <d v="2007-07-01T00:00:00"/>
    <x v="6"/>
    <x v="12"/>
    <n v="2469.4670999999998"/>
    <n v="73.940700000000007"/>
    <n v="0"/>
    <n v="2356.4578999999999"/>
    <n v="39.068600000000004"/>
    <n v="6967.6469999999999"/>
    <n v="133.489"/>
    <n v="0"/>
    <n v="6753.6660000000002"/>
    <n v="80.492000000000004"/>
    <n v="354"/>
    <n v="554"/>
    <n v="0"/>
    <n v="349"/>
    <n v="485"/>
  </r>
  <r>
    <d v="2007-08-01T00:00:00"/>
    <x v="7"/>
    <x v="12"/>
    <n v="2514.9439000000002"/>
    <n v="63.2027"/>
    <n v="0"/>
    <n v="2421.0001999999999"/>
    <n v="30.741"/>
    <n v="6964.5659999999998"/>
    <n v="120.453"/>
    <n v="0"/>
    <n v="6783.0460000000003"/>
    <n v="61.067"/>
    <n v="361"/>
    <n v="525"/>
    <n v="0"/>
    <n v="357"/>
    <n v="503"/>
  </r>
  <r>
    <d v="2007-09-01T00:00:00"/>
    <x v="8"/>
    <x v="12"/>
    <n v="2284.105"/>
    <n v="46.338700000000003"/>
    <n v="0"/>
    <n v="2211.3760000000002"/>
    <n v="26.3902"/>
    <n v="6482.9610000000002"/>
    <n v="86.084999999999994"/>
    <n v="0"/>
    <n v="6342.3050000000003"/>
    <n v="54.570999999999998"/>
    <n v="352"/>
    <n v="538"/>
    <n v="0"/>
    <n v="349"/>
    <n v="484"/>
  </r>
  <r>
    <d v="2007-10-01T00:00:00"/>
    <x v="9"/>
    <x v="12"/>
    <n v="2465.5832999999998"/>
    <n v="55.2256"/>
    <n v="0"/>
    <n v="2377.8216000000002"/>
    <n v="32.536099999999998"/>
    <n v="7218.9920000000002"/>
    <n v="107.623"/>
    <n v="0"/>
    <n v="7052.8959999999997"/>
    <n v="58.472999999999999"/>
    <n v="342"/>
    <n v="513"/>
    <n v="0"/>
    <n v="337"/>
    <n v="556"/>
  </r>
  <r>
    <d v="2007-11-01T00:00:00"/>
    <x v="10"/>
    <x v="12"/>
    <n v="2047.0797"/>
    <n v="50.988799999999998"/>
    <n v="0"/>
    <n v="1965.8017"/>
    <n v="30.289300000000001"/>
    <n v="5990.1940000000004"/>
    <n v="90.051000000000002"/>
    <n v="0"/>
    <n v="5845.17"/>
    <n v="54.972999999999999"/>
    <n v="342"/>
    <n v="566"/>
    <n v="0"/>
    <n v="336"/>
    <n v="551"/>
  </r>
  <r>
    <d v="2007-12-01T00:00:00"/>
    <x v="11"/>
    <x v="12"/>
    <n v="2050.7298000000001"/>
    <n v="67.599699999999999"/>
    <n v="0"/>
    <n v="1928.9809"/>
    <n v="54.149299999999997"/>
    <n v="6347.991"/>
    <n v="130.499"/>
    <n v="0"/>
    <n v="6104.0420000000004"/>
    <n v="113.45"/>
    <n v="323"/>
    <n v="518"/>
    <n v="0"/>
    <n v="316"/>
    <n v="477"/>
  </r>
  <r>
    <d v="2008-01-01T00:00:00"/>
    <x v="0"/>
    <x v="13"/>
    <n v="1781.6995999999999"/>
    <n v="72.426100000000005"/>
    <n v="0"/>
    <n v="1665.5578"/>
    <n v="43.715699999999998"/>
    <n v="5286.9709999999995"/>
    <n v="155.20099999999999"/>
    <n v="0"/>
    <n v="5068.134"/>
    <n v="63.636000000000003"/>
    <n v="337"/>
    <n v="467"/>
    <n v="0"/>
    <n v="329"/>
    <n v="687"/>
  </r>
  <r>
    <d v="2008-02-01T00:00:00"/>
    <x v="1"/>
    <x v="13"/>
    <n v="1942.0302999999999"/>
    <n v="47.197600000000001"/>
    <n v="0"/>
    <n v="1870.0963999999999"/>
    <n v="24.7363"/>
    <n v="5688.3760000000002"/>
    <n v="100.992"/>
    <n v="0"/>
    <n v="5539.7920000000004"/>
    <n v="47.591999999999999"/>
    <n v="341"/>
    <n v="467"/>
    <n v="0"/>
    <n v="338"/>
    <n v="520"/>
  </r>
  <r>
    <d v="2008-03-01T00:00:00"/>
    <x v="2"/>
    <x v="13"/>
    <n v="2206.3771000000002"/>
    <n v="45.842700000000001"/>
    <n v="0"/>
    <n v="2129.5517"/>
    <n v="30.982600000000001"/>
    <n v="6368.96"/>
    <n v="99.194000000000003"/>
    <n v="0"/>
    <n v="6206.433"/>
    <n v="63.332999999999998"/>
    <n v="346"/>
    <n v="462"/>
    <n v="0"/>
    <n v="343"/>
    <n v="489"/>
  </r>
  <r>
    <d v="2008-04-01T00:00:00"/>
    <x v="3"/>
    <x v="13"/>
    <n v="2278.0889999999999"/>
    <n v="47.275700000000001"/>
    <n v="0"/>
    <n v="2201.9011999999998"/>
    <n v="28.912099999999999"/>
    <n v="6423.1819999999998"/>
    <n v="98.466999999999999"/>
    <n v="0"/>
    <n v="6273.9350000000004"/>
    <n v="50.78"/>
    <n v="355"/>
    <n v="480"/>
    <n v="0"/>
    <n v="351"/>
    <n v="569"/>
  </r>
  <r>
    <d v="2008-05-01T00:00:00"/>
    <x v="4"/>
    <x v="13"/>
    <n v="2477.9621999999999"/>
    <n v="52.058700000000002"/>
    <n v="0"/>
    <n v="2392.7496999999998"/>
    <n v="33.153799999999997"/>
    <n v="7398.0240000000003"/>
    <n v="164.108"/>
    <n v="0"/>
    <n v="7174.7349999999997"/>
    <n v="59.180999999999997"/>
    <n v="335"/>
    <n v="317"/>
    <n v="0"/>
    <n v="333"/>
    <n v="560"/>
  </r>
  <r>
    <d v="2008-06-01T00:00:00"/>
    <x v="5"/>
    <x v="13"/>
    <n v="2366.0059999999999"/>
    <n v="51.300199999999997"/>
    <n v="0"/>
    <n v="2275.1237999999998"/>
    <n v="39.582000000000001"/>
    <n v="6754.2030000000004"/>
    <n v="107.114"/>
    <n v="0"/>
    <n v="6573.1930000000002"/>
    <n v="73.896000000000001"/>
    <n v="350"/>
    <n v="479"/>
    <n v="0"/>
    <n v="346"/>
    <n v="536"/>
  </r>
  <r>
    <d v="2008-07-01T00:00:00"/>
    <x v="6"/>
    <x v="13"/>
    <n v="2278.9294"/>
    <n v="55.419800000000002"/>
    <n v="0"/>
    <n v="2177.1716999999999"/>
    <n v="46.337899999999998"/>
    <n v="6441.5190000000002"/>
    <n v="115.366"/>
    <n v="0"/>
    <n v="6245.7129999999997"/>
    <n v="80.44"/>
    <n v="354"/>
    <n v="480"/>
    <n v="0"/>
    <n v="349"/>
    <n v="576"/>
  </r>
  <r>
    <d v="2008-08-01T00:00:00"/>
    <x v="7"/>
    <x v="13"/>
    <n v="2198.5254"/>
    <n v="48.483600000000003"/>
    <n v="0"/>
    <n v="2115.0785999999998"/>
    <n v="34.963200000000001"/>
    <n v="6389.2780000000002"/>
    <n v="111.654"/>
    <n v="0"/>
    <n v="6211.7349999999997"/>
    <n v="65.888999999999996"/>
    <n v="344"/>
    <n v="434"/>
    <n v="0"/>
    <n v="340"/>
    <n v="531"/>
  </r>
  <r>
    <d v="2008-09-01T00:00:00"/>
    <x v="8"/>
    <x v="13"/>
    <n v="2208.0882999999999"/>
    <n v="44.761400000000002"/>
    <n v="0"/>
    <n v="2133.962"/>
    <n v="29.364899999999999"/>
    <n v="6408.1329999999998"/>
    <n v="108.75700000000001"/>
    <n v="0"/>
    <n v="6245.4570000000003"/>
    <n v="53.918999999999997"/>
    <n v="345"/>
    <n v="412"/>
    <n v="0"/>
    <n v="342"/>
    <n v="545"/>
  </r>
  <r>
    <d v="2008-10-01T00:00:00"/>
    <x v="9"/>
    <x v="13"/>
    <n v="2759.2451000000001"/>
    <n v="49.3874"/>
    <n v="0"/>
    <n v="2680.2881000000002"/>
    <n v="29.569600000000001"/>
    <n v="6969.2089999999998"/>
    <n v="99.239000000000004"/>
    <n v="0"/>
    <n v="6812.4579999999996"/>
    <n v="57.512"/>
    <n v="396"/>
    <n v="498"/>
    <n v="0"/>
    <n v="393"/>
    <n v="514"/>
  </r>
  <r>
    <d v="2008-11-01T00:00:00"/>
    <x v="10"/>
    <x v="13"/>
    <n v="1834.3371999999999"/>
    <n v="35.136000000000003"/>
    <n v="0"/>
    <n v="1767.7539999999999"/>
    <n v="31.447199999999999"/>
    <n v="5491.741"/>
    <n v="81.975999999999999"/>
    <n v="0"/>
    <n v="5345.6949999999997"/>
    <n v="64.069999999999993"/>
    <n v="334"/>
    <n v="429"/>
    <n v="0"/>
    <n v="331"/>
    <n v="491"/>
  </r>
  <r>
    <d v="2008-12-01T00:00:00"/>
    <x v="11"/>
    <x v="13"/>
    <n v="1853.9266"/>
    <n v="49.354500000000002"/>
    <n v="0"/>
    <n v="1744.6878999999999"/>
    <n v="59.8842"/>
    <n v="5908.9690000000001"/>
    <n v="111.27"/>
    <n v="0"/>
    <n v="5681.6229999999996"/>
    <n v="116.07599999999999"/>
    <n v="314"/>
    <n v="444"/>
    <n v="0"/>
    <n v="307"/>
    <n v="516"/>
  </r>
  <r>
    <d v="2009-01-01T00:00:00"/>
    <x v="0"/>
    <x v="14"/>
    <n v="1642.9594"/>
    <n v="38.5747"/>
    <n v="0"/>
    <n v="1559.9989"/>
    <n v="44.385899999999999"/>
    <n v="5008.3230000000003"/>
    <n v="90.799000000000007"/>
    <n v="0"/>
    <n v="4858.8140000000003"/>
    <n v="58.71"/>
    <n v="328"/>
    <n v="425"/>
    <n v="0"/>
    <n v="321"/>
    <n v="756"/>
  </r>
  <r>
    <d v="2009-02-01T00:00:00"/>
    <x v="1"/>
    <x v="14"/>
    <n v="1890.6882000000001"/>
    <n v="32.650599999999997"/>
    <n v="0"/>
    <n v="1834.4036000000001"/>
    <n v="23.6341"/>
    <n v="5417.4679999999998"/>
    <n v="68.677999999999997"/>
    <n v="0"/>
    <n v="5301.9290000000001"/>
    <n v="46.860999999999997"/>
    <n v="349"/>
    <n v="475"/>
    <n v="0"/>
    <n v="346"/>
    <n v="504"/>
  </r>
  <r>
    <d v="2009-03-01T00:00:00"/>
    <x v="2"/>
    <x v="14"/>
    <n v="2194.4479000000001"/>
    <n v="36.200600000000001"/>
    <n v="0"/>
    <n v="2131.9173999999998"/>
    <n v="26.329899999999999"/>
    <n v="6273.15"/>
    <n v="77.13"/>
    <n v="0"/>
    <n v="6134.1540000000005"/>
    <n v="61.866"/>
    <n v="350"/>
    <n v="469"/>
    <n v="0"/>
    <n v="348"/>
    <n v="426"/>
  </r>
  <r>
    <d v="2009-04-01T00:00:00"/>
    <x v="3"/>
    <x v="14"/>
    <n v="1867.0471"/>
    <n v="34.834600000000002"/>
    <n v="0"/>
    <n v="1797.6985999999999"/>
    <n v="34.5139"/>
    <n v="5753.3029999999999"/>
    <n v="75.001999999999995"/>
    <n v="0"/>
    <n v="5599.1840000000002"/>
    <n v="79.117000000000004"/>
    <n v="325"/>
    <n v="464"/>
    <n v="0"/>
    <n v="321"/>
    <n v="436"/>
  </r>
  <r>
    <d v="2009-05-01T00:00:00"/>
    <x v="4"/>
    <x v="14"/>
    <n v="1986.2720999999999"/>
    <n v="33.556100000000001"/>
    <n v="0"/>
    <n v="1936.4945"/>
    <n v="16.221399999999999"/>
    <n v="6545.9269999999997"/>
    <n v="82.191999999999993"/>
    <n v="0"/>
    <n v="6424.8909999999996"/>
    <n v="38.844000000000001"/>
    <n v="303"/>
    <n v="408"/>
    <n v="0"/>
    <n v="301"/>
    <n v="418"/>
  </r>
  <r>
    <d v="2009-06-01T00:00:00"/>
    <x v="5"/>
    <x v="14"/>
    <n v="2007.8197"/>
    <n v="36.053800000000003"/>
    <n v="0"/>
    <n v="1938.4319"/>
    <n v="33.334099999999999"/>
    <n v="6246.6379999999999"/>
    <n v="86.266000000000005"/>
    <n v="0"/>
    <n v="6086.1769999999997"/>
    <n v="74.194999999999993"/>
    <n v="321"/>
    <n v="418"/>
    <n v="0"/>
    <n v="318"/>
    <n v="449"/>
  </r>
  <r>
    <d v="2009-07-01T00:00:00"/>
    <x v="6"/>
    <x v="14"/>
    <n v="1919.4754"/>
    <n v="32.517600000000002"/>
    <n v="0"/>
    <n v="1845.7727"/>
    <n v="41.185099999999998"/>
    <n v="5936.8680000000004"/>
    <n v="68.213999999999999"/>
    <n v="0"/>
    <n v="5759.5929999999998"/>
    <n v="109.06100000000001"/>
    <n v="323"/>
    <n v="477"/>
    <n v="0"/>
    <n v="320"/>
    <n v="378"/>
  </r>
  <r>
    <d v="2009-08-01T00:00:00"/>
    <x v="7"/>
    <x v="14"/>
    <n v="1864.1987999999999"/>
    <n v="28.127600000000001"/>
    <n v="0"/>
    <n v="1801.548"/>
    <n v="34.523200000000003"/>
    <n v="5990.7039999999997"/>
    <n v="64.885000000000005"/>
    <n v="0"/>
    <n v="5831.3649999999998"/>
    <n v="94.453999999999994"/>
    <n v="311"/>
    <n v="433"/>
    <n v="0"/>
    <n v="309"/>
    <n v="366"/>
  </r>
  <r>
    <d v="2009-09-01T00:00:00"/>
    <x v="8"/>
    <x v="14"/>
    <n v="1808.0308"/>
    <n v="25.204000000000001"/>
    <n v="0"/>
    <n v="1766.8594000000001"/>
    <n v="15.9674"/>
    <n v="5763.45"/>
    <n v="56.249000000000002"/>
    <n v="0"/>
    <n v="5663.3819999999996"/>
    <n v="43.819000000000003"/>
    <n v="314"/>
    <n v="448"/>
    <n v="0"/>
    <n v="312"/>
    <n v="364"/>
  </r>
  <r>
    <d v="2009-10-01T00:00:00"/>
    <x v="9"/>
    <x v="14"/>
    <n v="1756.2438999999999"/>
    <n v="23.969799999999999"/>
    <n v="0"/>
    <n v="1710.337"/>
    <n v="21.937100000000001"/>
    <n v="5860.3270000000002"/>
    <n v="55.588999999999999"/>
    <n v="0"/>
    <n v="5748.0559999999996"/>
    <n v="56.682000000000002"/>
    <n v="300"/>
    <n v="431"/>
    <n v="0"/>
    <n v="298"/>
    <n v="387"/>
  </r>
  <r>
    <d v="2009-11-01T00:00:00"/>
    <x v="10"/>
    <x v="14"/>
    <n v="1563.7409"/>
    <n v="25.6083"/>
    <n v="0"/>
    <n v="1506.9213"/>
    <n v="31.211300000000001"/>
    <n v="5245.85"/>
    <n v="57.399000000000001"/>
    <n v="0"/>
    <n v="5104.6850000000004"/>
    <n v="83.766000000000005"/>
    <n v="298"/>
    <n v="446"/>
    <n v="0"/>
    <n v="295"/>
    <n v="373"/>
  </r>
  <r>
    <d v="2009-12-01T00:00:00"/>
    <x v="11"/>
    <x v="14"/>
    <n v="1622.8016"/>
    <n v="38.924799999999998"/>
    <n v="0"/>
    <n v="1534.4938999999999"/>
    <n v="49.382899999999999"/>
    <n v="5588.6059999999998"/>
    <n v="84.024000000000001"/>
    <n v="0"/>
    <n v="5390.1570000000002"/>
    <n v="114.425"/>
    <n v="290"/>
    <n v="463"/>
    <n v="0"/>
    <n v="285"/>
    <n v="432"/>
  </r>
  <r>
    <d v="2010-01-01T00:00:00"/>
    <x v="0"/>
    <x v="15"/>
    <n v="1374.0618999999999"/>
    <n v="33.163499999999999"/>
    <n v="0"/>
    <n v="1313.7756999999999"/>
    <n v="27.122699999999998"/>
    <n v="4649.5450000000001"/>
    <n v="74.105000000000004"/>
    <n v="0"/>
    <n v="4514.8710000000001"/>
    <n v="60.569000000000003"/>
    <n v="296"/>
    <n v="448"/>
    <n v="0"/>
    <n v="291"/>
    <n v="448"/>
  </r>
  <r>
    <d v="2010-02-01T00:00:00"/>
    <x v="1"/>
    <x v="15"/>
    <n v="1610.3715999999999"/>
    <n v="27.6889"/>
    <n v="0"/>
    <n v="1562.8762999999999"/>
    <n v="19.8064"/>
    <n v="5068.6629999999996"/>
    <n v="59.582000000000001"/>
    <n v="0"/>
    <n v="4962.1080000000002"/>
    <n v="46.972999999999999"/>
    <n v="318"/>
    <n v="465"/>
    <n v="0"/>
    <n v="315"/>
    <n v="422"/>
  </r>
  <r>
    <d v="2010-03-01T00:00:00"/>
    <x v="2"/>
    <x v="15"/>
    <n v="2018.3172999999999"/>
    <n v="36.057400000000001"/>
    <n v="0"/>
    <n v="1964.9028000000001"/>
    <n v="17.357099999999999"/>
    <n v="6211.9930000000004"/>
    <n v="74.356999999999999"/>
    <n v="0"/>
    <n v="6088.7579999999998"/>
    <n v="48.878"/>
    <n v="325"/>
    <n v="485"/>
    <n v="0"/>
    <n v="323"/>
    <n v="355"/>
  </r>
  <r>
    <d v="2010-04-01T00:00:00"/>
    <x v="3"/>
    <x v="15"/>
    <n v="1853.3742999999999"/>
    <n v="33.395099999999999"/>
    <n v="0"/>
    <n v="1799.4725000000001"/>
    <n v="20.506599999999999"/>
    <n v="5700.317"/>
    <n v="67.643000000000001"/>
    <n v="0"/>
    <n v="5570.8950000000004"/>
    <n v="61.779000000000003"/>
    <n v="325"/>
    <n v="494"/>
    <n v="0"/>
    <n v="323"/>
    <n v="332"/>
  </r>
  <r>
    <d v="2010-05-01T00:00:00"/>
    <x v="4"/>
    <x v="15"/>
    <n v="2215.0434"/>
    <n v="35.892499999999998"/>
    <n v="0"/>
    <n v="2159.3000999999999"/>
    <n v="19.8508"/>
    <n v="6961.5230000000001"/>
    <n v="76.570999999999998"/>
    <n v="0"/>
    <n v="6828.2560000000003"/>
    <n v="56.695999999999998"/>
    <n v="318"/>
    <n v="469"/>
    <n v="0"/>
    <n v="316"/>
    <n v="350"/>
  </r>
  <r>
    <d v="2010-06-01T00:00:00"/>
    <x v="5"/>
    <x v="15"/>
    <n v="1954.6276"/>
    <n v="34.516800000000003"/>
    <n v="0"/>
    <n v="1894.4179999999999"/>
    <n v="25.692900000000002"/>
    <n v="6076.5810000000001"/>
    <n v="71.141999999999996"/>
    <n v="0"/>
    <n v="5932.3509999999997"/>
    <n v="73.087999999999994"/>
    <n v="322"/>
    <n v="485"/>
    <n v="0"/>
    <n v="319"/>
    <n v="352"/>
  </r>
  <r>
    <d v="2010-07-01T00:00:00"/>
    <x v="6"/>
    <x v="15"/>
    <n v="1937.0853999999999"/>
    <n v="36.434800000000003"/>
    <n v="0"/>
    <n v="1866.1519000000001"/>
    <n v="34.498699999999999"/>
    <n v="5911.6949999999997"/>
    <n v="74.132999999999996"/>
    <n v="0"/>
    <n v="5761.9579999999996"/>
    <n v="75.603999999999999"/>
    <n v="328"/>
    <n v="491"/>
    <n v="0"/>
    <n v="324"/>
    <n v="456"/>
  </r>
  <r>
    <d v="2010-08-01T00:00:00"/>
    <x v="7"/>
    <x v="15"/>
    <n v="2022.7420999999999"/>
    <n v="32.615699999999997"/>
    <n v="0"/>
    <n v="1957.9413999999999"/>
    <n v="32.185000000000002"/>
    <n v="6203.4719999999998"/>
    <n v="68.034999999999997"/>
    <n v="0"/>
    <n v="6069.5510000000004"/>
    <n v="65.885999999999996"/>
    <n v="326"/>
    <n v="479"/>
    <n v="0"/>
    <n v="323"/>
    <n v="488"/>
  </r>
  <r>
    <d v="2010-09-01T00:00:00"/>
    <x v="8"/>
    <x v="15"/>
    <n v="1774.9576999999999"/>
    <n v="25.502400000000002"/>
    <n v="0"/>
    <n v="1731.7167999999999"/>
    <n v="17.738499999999998"/>
    <n v="5681.3580000000002"/>
    <n v="55.134999999999998"/>
    <n v="0"/>
    <n v="5583.4920000000002"/>
    <n v="42.731000000000002"/>
    <n v="312"/>
    <n v="463"/>
    <n v="0"/>
    <n v="310"/>
    <n v="415"/>
  </r>
  <r>
    <d v="2010-10-01T00:00:00"/>
    <x v="9"/>
    <x v="15"/>
    <n v="1784.3884"/>
    <n v="26.033100000000001"/>
    <n v="0"/>
    <n v="1737.636"/>
    <n v="20.7193"/>
    <n v="5894.768"/>
    <n v="55.88"/>
    <n v="0"/>
    <n v="5791.0230000000001"/>
    <n v="47.865000000000002"/>
    <n v="303"/>
    <n v="466"/>
    <n v="0"/>
    <n v="300"/>
    <n v="433"/>
  </r>
  <r>
    <d v="2010-11-01T00:00:00"/>
    <x v="10"/>
    <x v="15"/>
    <n v="1678.5798"/>
    <n v="28.7074"/>
    <n v="0"/>
    <n v="1622.1063999999999"/>
    <n v="27.765899999999998"/>
    <n v="5459.442"/>
    <n v="59.265999999999998"/>
    <n v="0"/>
    <n v="5337.9780000000001"/>
    <n v="62.198"/>
    <n v="307"/>
    <n v="484"/>
    <n v="0"/>
    <n v="304"/>
    <n v="446"/>
  </r>
  <r>
    <d v="2010-12-01T00:00:00"/>
    <x v="11"/>
    <x v="15"/>
    <n v="1767.7899"/>
    <n v="39.735399999999998"/>
    <n v="0"/>
    <n v="1660.4372000000001"/>
    <n v="67.6173"/>
    <n v="5838.6840000000002"/>
    <n v="80.274000000000001"/>
    <n v="0"/>
    <n v="5611.2280000000001"/>
    <n v="147.18199999999999"/>
    <n v="303"/>
    <n v="495"/>
    <n v="0"/>
    <n v="296"/>
    <n v="459"/>
  </r>
  <r>
    <d v="2011-01-01T00:00:00"/>
    <x v="0"/>
    <x v="16"/>
    <n v="1443.6509000000001"/>
    <n v="27.900600000000001"/>
    <n v="0"/>
    <n v="1389.4847"/>
    <n v="26.265699999999999"/>
    <n v="4854.1480000000001"/>
    <n v="59.966000000000001"/>
    <n v="0"/>
    <n v="4736.5510000000004"/>
    <n v="57.631"/>
    <n v="297"/>
    <n v="465"/>
    <n v="0"/>
    <n v="293"/>
    <n v="456"/>
  </r>
  <r>
    <d v="2011-02-01T00:00:00"/>
    <x v="1"/>
    <x v="16"/>
    <n v="1701.9788000000001"/>
    <n v="12.669"/>
    <n v="0"/>
    <n v="1670.0453"/>
    <n v="19.264399999999998"/>
    <n v="5183.7079999999996"/>
    <n v="26.433"/>
    <n v="0"/>
    <n v="5111.576"/>
    <n v="45.698999999999998"/>
    <n v="328"/>
    <n v="479"/>
    <n v="0"/>
    <n v="327"/>
    <n v="422"/>
  </r>
  <r>
    <d v="2011-03-01T00:00:00"/>
    <x v="2"/>
    <x v="16"/>
    <n v="2117.8914"/>
    <n v="16.8307"/>
    <n v="0"/>
    <n v="2075.9955"/>
    <n v="25.065200000000001"/>
    <n v="6161.482"/>
    <n v="33.274000000000001"/>
    <n v="0"/>
    <n v="6077.2690000000002"/>
    <n v="50.939"/>
    <n v="344"/>
    <n v="506"/>
    <n v="0"/>
    <n v="342"/>
    <n v="492"/>
  </r>
  <r>
    <d v="2011-04-01T00:00:00"/>
    <x v="3"/>
    <x v="16"/>
    <n v="1939.8625"/>
    <n v="13.2834"/>
    <n v="0"/>
    <n v="1895.9443000000001"/>
    <n v="30.634699999999999"/>
    <n v="5850.2"/>
    <n v="25.619"/>
    <n v="0"/>
    <n v="5751.2709999999997"/>
    <n v="73.31"/>
    <n v="332"/>
    <n v="518"/>
    <n v="0"/>
    <n v="330"/>
    <n v="418"/>
  </r>
  <r>
    <d v="2011-05-01T00:00:00"/>
    <x v="4"/>
    <x v="16"/>
    <n v="2236.9868000000001"/>
    <n v="13.9628"/>
    <n v="0"/>
    <n v="2198.1664000000001"/>
    <n v="24.857700000000001"/>
    <n v="7045.0439999999999"/>
    <n v="30.736999999999998"/>
    <n v="0"/>
    <n v="6952.5879999999997"/>
    <n v="61.719000000000001"/>
    <n v="318"/>
    <n v="454"/>
    <n v="0"/>
    <n v="316"/>
    <n v="403"/>
  </r>
  <r>
    <d v="2011-06-01T00:00:00"/>
    <x v="5"/>
    <x v="16"/>
    <n v="2089.4758999999999"/>
    <n v="18.1144"/>
    <n v="0"/>
    <n v="2046.0513000000001"/>
    <n v="25.310199999999998"/>
    <n v="6219.0839999999998"/>
    <n v="36.831000000000003"/>
    <n v="0"/>
    <n v="6114.9449999999997"/>
    <n v="67.308000000000007"/>
    <n v="336"/>
    <n v="492"/>
    <n v="0"/>
    <n v="335"/>
    <n v="376"/>
  </r>
  <r>
    <d v="2011-07-01T00:00:00"/>
    <x v="6"/>
    <x v="16"/>
    <n v="1972.6129000000001"/>
    <n v="16.704999999999998"/>
    <n v="0"/>
    <n v="1915.9556"/>
    <n v="39.952300000000001"/>
    <n v="6028.42"/>
    <n v="34.56"/>
    <n v="0"/>
    <n v="5898.2939999999999"/>
    <n v="95.566000000000003"/>
    <n v="327"/>
    <n v="483"/>
    <n v="0"/>
    <n v="325"/>
    <n v="418"/>
  </r>
  <r>
    <d v="2011-08-01T00:00:00"/>
    <x v="7"/>
    <x v="16"/>
    <n v="2216.8552"/>
    <n v="17.516200000000001"/>
    <n v="0"/>
    <n v="2171.1046000000001"/>
    <n v="28.234400000000001"/>
    <n v="6507.3379999999997"/>
    <n v="34.491999999999997"/>
    <n v="0"/>
    <n v="6399.04"/>
    <n v="73.805999999999997"/>
    <n v="341"/>
    <n v="508"/>
    <n v="0"/>
    <n v="339"/>
    <n v="383"/>
  </r>
  <r>
    <d v="2011-09-01T00:00:00"/>
    <x v="8"/>
    <x v="16"/>
    <n v="2157.5536999999999"/>
    <n v="17.614999999999998"/>
    <n v="0"/>
    <n v="2115.5904999999998"/>
    <n v="24.348299999999998"/>
    <n v="6181.7579999999998"/>
    <n v="35.64"/>
    <n v="0"/>
    <n v="6098.2920000000004"/>
    <n v="47.826000000000001"/>
    <n v="349"/>
    <n v="494"/>
    <n v="0"/>
    <n v="347"/>
    <n v="509"/>
  </r>
  <r>
    <d v="2011-10-01T00:00:00"/>
    <x v="9"/>
    <x v="16"/>
    <n v="1976.2471"/>
    <n v="15.300800000000001"/>
    <n v="0"/>
    <n v="1937.0669"/>
    <n v="23.8794"/>
    <n v="6205.902"/>
    <n v="32.631999999999998"/>
    <n v="0"/>
    <n v="6121.5959999999995"/>
    <n v="51.673999999999999"/>
    <n v="318"/>
    <n v="469"/>
    <n v="0"/>
    <n v="316"/>
    <n v="462"/>
  </r>
  <r>
    <d v="2011-11-01T00:00:00"/>
    <x v="10"/>
    <x v="16"/>
    <n v="1850.3941"/>
    <n v="16.292000000000002"/>
    <n v="0"/>
    <n v="1798.9176"/>
    <n v="35.184399999999997"/>
    <n v="5668.9570000000003"/>
    <n v="34.226999999999997"/>
    <n v="0"/>
    <n v="5546.5230000000001"/>
    <n v="88.206999999999994"/>
    <n v="326"/>
    <n v="476"/>
    <n v="0"/>
    <n v="324"/>
    <n v="399"/>
  </r>
  <r>
    <d v="2011-12-01T00:00:00"/>
    <x v="11"/>
    <x v="16"/>
    <n v="1843.8366000000001"/>
    <n v="20.6173"/>
    <n v="0"/>
    <n v="1758.9281000000001"/>
    <n v="64.291200000000003"/>
    <n v="6174.473"/>
    <n v="42.862000000000002"/>
    <n v="0"/>
    <n v="5964.7879999999996"/>
    <n v="166.82300000000001"/>
    <n v="299"/>
    <n v="481"/>
    <n v="0"/>
    <n v="295"/>
    <n v="385"/>
  </r>
  <r>
    <d v="2012-01-01T00:00:00"/>
    <x v="0"/>
    <x v="17"/>
    <n v="1555.5014000000001"/>
    <n v="15.794"/>
    <n v="0"/>
    <n v="1507.2125000000001"/>
    <n v="32.494799999999998"/>
    <n v="5269.9440000000004"/>
    <n v="33.674999999999997"/>
    <n v="0"/>
    <n v="5172.8310000000001"/>
    <n v="63.438000000000002"/>
    <n v="295"/>
    <n v="469"/>
    <n v="0"/>
    <n v="291"/>
    <n v="512"/>
  </r>
  <r>
    <d v="2012-02-01T00:00:00"/>
    <x v="1"/>
    <x v="17"/>
    <n v="1852.2529"/>
    <n v="15.2874"/>
    <n v="0"/>
    <n v="1818.4289000000001"/>
    <n v="18.5366"/>
    <n v="5768.6220000000003"/>
    <n v="32.185000000000002"/>
    <n v="0"/>
    <n v="5691.4250000000002"/>
    <n v="45.012"/>
    <n v="321"/>
    <n v="475"/>
    <n v="0"/>
    <n v="320"/>
    <n v="412"/>
  </r>
  <r>
    <d v="2012-03-01T00:00:00"/>
    <x v="2"/>
    <x v="17"/>
    <n v="2164.5086999999999"/>
    <n v="17.566099999999999"/>
    <n v="0"/>
    <n v="2114.3697000000002"/>
    <n v="32.573"/>
    <n v="6435.9889999999996"/>
    <n v="34.506999999999998"/>
    <n v="0"/>
    <n v="6314.1109999999999"/>
    <n v="87.370999999999995"/>
    <n v="336"/>
    <n v="509"/>
    <n v="0"/>
    <n v="335"/>
    <n v="373"/>
  </r>
  <r>
    <d v="2012-04-01T00:00:00"/>
    <x v="3"/>
    <x v="17"/>
    <n v="2104.2748999999999"/>
    <n v="16.770399999999999"/>
    <n v="0"/>
    <n v="2057.8847999999998"/>
    <n v="29.619700000000002"/>
    <n v="6299.0870000000004"/>
    <n v="31.795000000000002"/>
    <n v="0"/>
    <n v="6200.4210000000003"/>
    <n v="66.870999999999995"/>
    <n v="334"/>
    <n v="527"/>
    <n v="0"/>
    <n v="332"/>
    <n v="443"/>
  </r>
  <r>
    <d v="2012-05-01T00:00:00"/>
    <x v="4"/>
    <x v="17"/>
    <n v="2429.1369"/>
    <n v="20.2651"/>
    <n v="0"/>
    <n v="2378.2820999999999"/>
    <n v="30.5898"/>
    <n v="7337.2650000000003"/>
    <n v="40.728999999999999"/>
    <n v="0"/>
    <n v="7233.866"/>
    <n v="62.67"/>
    <n v="331"/>
    <n v="498"/>
    <n v="0"/>
    <n v="329"/>
    <n v="488"/>
  </r>
  <r>
    <d v="2012-06-01T00:00:00"/>
    <x v="5"/>
    <x v="17"/>
    <n v="2167.6113"/>
    <n v="16.226400000000002"/>
    <n v="0"/>
    <n v="2116.7539000000002"/>
    <n v="34.631"/>
    <n v="6503.3119999999999"/>
    <n v="32.241999999999997"/>
    <n v="0"/>
    <n v="6392.65"/>
    <n v="78.42"/>
    <n v="333"/>
    <n v="503"/>
    <n v="0"/>
    <n v="331"/>
    <n v="442"/>
  </r>
  <r>
    <d v="2012-07-01T00:00:00"/>
    <x v="6"/>
    <x v="17"/>
    <n v="1926.9582"/>
    <n v="17.2881"/>
    <n v="0"/>
    <n v="1868.0817"/>
    <n v="41.588299999999997"/>
    <n v="6120.576"/>
    <n v="35.085999999999999"/>
    <n v="0"/>
    <n v="5995.1719999999996"/>
    <n v="90.317999999999998"/>
    <n v="315"/>
    <n v="493"/>
    <n v="0"/>
    <n v="312"/>
    <n v="460"/>
  </r>
  <r>
    <d v="2012-08-01T00:00:00"/>
    <x v="7"/>
    <x v="17"/>
    <n v="1967.1665"/>
    <n v="15.8767"/>
    <n v="0"/>
    <n v="1922.6473000000001"/>
    <n v="28.642600000000002"/>
    <n v="6451.14"/>
    <n v="32.899000000000001"/>
    <n v="0"/>
    <n v="6348.1090000000004"/>
    <n v="70.132000000000005"/>
    <n v="305"/>
    <n v="483"/>
    <n v="0"/>
    <n v="303"/>
    <n v="408"/>
  </r>
  <r>
    <d v="2012-09-01T00:00:00"/>
    <x v="8"/>
    <x v="17"/>
    <n v="1734.3221000000001"/>
    <n v="11.7498"/>
    <n v="0"/>
    <n v="1700.9547"/>
    <n v="21.617599999999999"/>
    <n v="5845.1530000000002"/>
    <n v="25.367999999999999"/>
    <n v="0"/>
    <n v="5768.7969999999996"/>
    <n v="50.988"/>
    <n v="297"/>
    <n v="463"/>
    <n v="0"/>
    <n v="295"/>
    <n v="424"/>
  </r>
  <r>
    <d v="2012-10-01T00:00:00"/>
    <x v="9"/>
    <x v="17"/>
    <n v="1848.5677000000001"/>
    <n v="15.251300000000001"/>
    <n v="0"/>
    <n v="1811.385"/>
    <n v="21.9315"/>
    <n v="6164.4430000000002"/>
    <n v="31.780999999999999"/>
    <n v="0"/>
    <n v="6083.8180000000002"/>
    <n v="48.844000000000001"/>
    <n v="300"/>
    <n v="480"/>
    <n v="0"/>
    <n v="298"/>
    <n v="449"/>
  </r>
  <r>
    <d v="2012-11-01T00:00:00"/>
    <x v="10"/>
    <x v="17"/>
    <n v="1762.57"/>
    <n v="13.946899999999999"/>
    <n v="0"/>
    <n v="1718.4148"/>
    <n v="30.208300000000001"/>
    <n v="5845.7160000000003"/>
    <n v="27.22"/>
    <n v="0"/>
    <n v="5747.7449999999999"/>
    <n v="70.751000000000005"/>
    <n v="302"/>
    <n v="512"/>
    <n v="0"/>
    <n v="299"/>
    <n v="427"/>
  </r>
  <r>
    <d v="2012-12-01T00:00:00"/>
    <x v="11"/>
    <x v="17"/>
    <n v="1773.4015999999999"/>
    <n v="18.808199999999999"/>
    <n v="0"/>
    <n v="1691.1242"/>
    <n v="63.469200000000001"/>
    <n v="6080.0940000000001"/>
    <n v="35.829000000000001"/>
    <n v="0"/>
    <n v="5911.6030000000001"/>
    <n v="132.66200000000001"/>
    <n v="292"/>
    <n v="525"/>
    <n v="0"/>
    <n v="286"/>
    <n v="478"/>
  </r>
  <r>
    <d v="2013-01-01T00:00:00"/>
    <x v="0"/>
    <x v="18"/>
    <n v="1588.9104"/>
    <n v="16.264399999999998"/>
    <n v="0"/>
    <n v="1547.0322000000001"/>
    <n v="25.613700000000001"/>
    <n v="5555.8959999999997"/>
    <n v="32.045999999999999"/>
    <n v="0"/>
    <n v="5464.06"/>
    <n v="59.79"/>
    <n v="286"/>
    <n v="508"/>
    <n v="0"/>
    <n v="283"/>
    <n v="428"/>
  </r>
  <r>
    <d v="2013-02-01T00:00:00"/>
    <x v="1"/>
    <x v="18"/>
    <n v="1721.9286999999999"/>
    <n v="16.1508"/>
    <n v="0"/>
    <n v="1686.6429000000001"/>
    <n v="19.135000000000002"/>
    <n v="5887.28"/>
    <n v="31.001000000000001"/>
    <n v="0"/>
    <n v="5808.6620000000003"/>
    <n v="47.616999999999997"/>
    <n v="292"/>
    <n v="521"/>
    <n v="0"/>
    <n v="290"/>
    <n v="402"/>
  </r>
  <r>
    <d v="2013-03-01T00:00:00"/>
    <x v="2"/>
    <x v="18"/>
    <n v="1935.7183"/>
    <n v="14.215999999999999"/>
    <n v="0"/>
    <n v="1899.0368000000001"/>
    <n v="22.465499999999999"/>
    <n v="6452.2"/>
    <n v="28.2"/>
    <n v="0"/>
    <n v="6353.9740000000002"/>
    <n v="70.025999999999996"/>
    <n v="300"/>
    <n v="504"/>
    <n v="0"/>
    <n v="299"/>
    <n v="321"/>
  </r>
  <r>
    <d v="2013-04-01T00:00:00"/>
    <x v="3"/>
    <x v="18"/>
    <n v="2050.7979999999998"/>
    <n v="15.549799999999999"/>
    <n v="0"/>
    <n v="2013.6168"/>
    <n v="21.631399999999999"/>
    <n v="6878.3209999999999"/>
    <n v="30.446999999999999"/>
    <n v="0"/>
    <n v="6794.64"/>
    <n v="53.234000000000002"/>
    <n v="298"/>
    <n v="511"/>
    <n v="0"/>
    <n v="296"/>
    <n v="406"/>
  </r>
  <r>
    <d v="2013-05-01T00:00:00"/>
    <x v="4"/>
    <x v="18"/>
    <n v="2176.62"/>
    <n v="16.372599999999998"/>
    <n v="0"/>
    <n v="2129.9265"/>
    <n v="30.320900000000002"/>
    <n v="7646.8710000000001"/>
    <n v="32.314"/>
    <n v="0"/>
    <n v="7544.2629999999999"/>
    <n v="70.293999999999997"/>
    <n v="285"/>
    <n v="507"/>
    <n v="0"/>
    <n v="282"/>
    <n v="431"/>
  </r>
  <r>
    <d v="2013-06-01T00:00:00"/>
    <x v="5"/>
    <x v="18"/>
    <n v="2067.0877999999998"/>
    <n v="12.9922"/>
    <n v="0"/>
    <n v="2023.7974999999999"/>
    <n v="30.298100000000002"/>
    <n v="6871.598"/>
    <n v="24.417000000000002"/>
    <n v="0"/>
    <n v="6765.84"/>
    <n v="81.340999999999994"/>
    <n v="301"/>
    <n v="532"/>
    <n v="0"/>
    <n v="299"/>
    <n v="372"/>
  </r>
  <r>
    <d v="2013-07-01T00:00:00"/>
    <x v="6"/>
    <x v="18"/>
    <n v="1945.4920999999999"/>
    <n v="13.442"/>
    <n v="0"/>
    <n v="1898.5469000000001"/>
    <n v="33.5032"/>
    <n v="6668.3270000000002"/>
    <n v="25.414000000000001"/>
    <n v="0"/>
    <n v="6560.4319999999998"/>
    <n v="82.480999999999995"/>
    <n v="292"/>
    <n v="529"/>
    <n v="0"/>
    <n v="289"/>
    <n v="406"/>
  </r>
  <r>
    <d v="2013-08-01T00:00:00"/>
    <x v="7"/>
    <x v="18"/>
    <n v="2024.0101"/>
    <n v="14.416700000000001"/>
    <n v="0"/>
    <n v="1981.3608999999999"/>
    <n v="28.232399999999998"/>
    <n v="6840.4350000000004"/>
    <n v="27.248000000000001"/>
    <n v="0"/>
    <n v="6751.7659999999996"/>
    <n v="61.420999999999999"/>
    <n v="296"/>
    <n v="529"/>
    <n v="0"/>
    <n v="293"/>
    <n v="460"/>
  </r>
  <r>
    <d v="2013-09-01T00:00:00"/>
    <x v="8"/>
    <x v="18"/>
    <n v="1890.4585999999999"/>
    <n v="12.4998"/>
    <n v="0"/>
    <n v="1856.3487"/>
    <n v="21.610199999999999"/>
    <n v="6624.4679999999998"/>
    <n v="24.17"/>
    <n v="0"/>
    <n v="6555.2969999999996"/>
    <n v="45.000999999999998"/>
    <n v="285"/>
    <n v="517"/>
    <n v="0"/>
    <n v="283"/>
    <n v="480"/>
  </r>
  <r>
    <d v="2013-10-01T00:00:00"/>
    <x v="9"/>
    <x v="18"/>
    <n v="1973.1587"/>
    <n v="15.504099999999999"/>
    <n v="0"/>
    <n v="1931.6505999999999"/>
    <n v="26.004000000000001"/>
    <n v="6924.4319999999998"/>
    <n v="31.305"/>
    <n v="0"/>
    <n v="6838.152"/>
    <n v="54.975000000000001"/>
    <n v="285"/>
    <n v="495"/>
    <n v="0"/>
    <n v="282"/>
    <n v="473"/>
  </r>
  <r>
    <d v="2013-11-01T00:00:00"/>
    <x v="10"/>
    <x v="18"/>
    <n v="1796.2248"/>
    <n v="28.791499999999999"/>
    <n v="0"/>
    <n v="1743.1061999999999"/>
    <n v="24.327100000000002"/>
    <n v="6208.5079999999998"/>
    <n v="55.82"/>
    <n v="0"/>
    <n v="6084.7120000000004"/>
    <n v="67.975999999999999"/>
    <n v="289"/>
    <n v="516"/>
    <n v="0"/>
    <n v="286"/>
    <n v="358"/>
  </r>
  <r>
    <d v="2013-12-01T00:00:00"/>
    <x v="11"/>
    <x v="18"/>
    <n v="1919.63"/>
    <n v="42.0822"/>
    <n v="0"/>
    <n v="1825.6742999999999"/>
    <n v="51.8735"/>
    <n v="6776.808"/>
    <n v="79.445999999999998"/>
    <n v="0"/>
    <n v="6558.7730000000001"/>
    <n v="138.589"/>
    <n v="283"/>
    <n v="530"/>
    <n v="0"/>
    <n v="278"/>
    <n v="374"/>
  </r>
  <r>
    <d v="2014-01-01T00:00:00"/>
    <x v="0"/>
    <x v="19"/>
    <n v="1706.7546"/>
    <n v="42.318800000000003"/>
    <n v="0"/>
    <n v="1629.4091000000001"/>
    <n v="35.026699999999998"/>
    <n v="5848.6459999999997"/>
    <n v="81.813000000000002"/>
    <n v="0"/>
    <n v="5691.6719999999996"/>
    <n v="75.161000000000001"/>
    <n v="292"/>
    <n v="517"/>
    <n v="0"/>
    <n v="286"/>
    <n v="466"/>
  </r>
  <r>
    <d v="2014-02-01T00:00:00"/>
    <x v="1"/>
    <x v="19"/>
    <n v="1788.2090000000001"/>
    <n v="25.329899999999999"/>
    <n v="0"/>
    <n v="1736.7295999999999"/>
    <n v="26.1496"/>
    <n v="6049.1629999999996"/>
    <n v="49.167999999999999"/>
    <n v="0"/>
    <n v="5931.4470000000001"/>
    <n v="68.548000000000002"/>
    <n v="296"/>
    <n v="515"/>
    <n v="0"/>
    <n v="293"/>
    <n v="381"/>
  </r>
  <r>
    <d v="2014-03-01T00:00:00"/>
    <x v="2"/>
    <x v="19"/>
    <n v="2182.6248000000001"/>
    <n v="22.0334"/>
    <n v="0"/>
    <n v="2130.0070000000001"/>
    <n v="30.584399999999999"/>
    <n v="7186.8670000000002"/>
    <n v="41.694000000000003"/>
    <n v="0"/>
    <n v="7069.0209999999997"/>
    <n v="76.152000000000001"/>
    <n v="304"/>
    <n v="528"/>
    <n v="0"/>
    <n v="301"/>
    <n v="402"/>
  </r>
  <r>
    <d v="2014-04-01T00:00:00"/>
    <x v="3"/>
    <x v="19"/>
    <n v="2056.9041999999999"/>
    <n v="25.002800000000001"/>
    <n v="0"/>
    <n v="2003.1945000000001"/>
    <n v="28.706900000000001"/>
    <n v="6840.991"/>
    <n v="48.354999999999997"/>
    <n v="0"/>
    <n v="6720.4089999999997"/>
    <n v="72.227000000000004"/>
    <n v="301"/>
    <n v="517"/>
    <n v="0"/>
    <n v="298"/>
    <n v="397"/>
  </r>
  <r>
    <d v="2014-05-01T00:00:00"/>
    <x v="4"/>
    <x v="19"/>
    <n v="2234.0545000000002"/>
    <n v="24.773099999999999"/>
    <n v="0"/>
    <n v="2176.9092000000001"/>
    <n v="32.372199999999999"/>
    <n v="7848.7179999999998"/>
    <n v="51.161000000000001"/>
    <n v="0"/>
    <n v="7718.3649999999998"/>
    <n v="79.191999999999993"/>
    <n v="285"/>
    <n v="484"/>
    <n v="0"/>
    <n v="282"/>
    <n v="409"/>
  </r>
  <r>
    <d v="2014-06-01T00:00:00"/>
    <x v="5"/>
    <x v="19"/>
    <n v="2095.8672000000001"/>
    <n v="23.212399999999999"/>
    <n v="0"/>
    <n v="2031.7452000000001"/>
    <n v="40.909599999999998"/>
    <n v="7042.32"/>
    <n v="46.015000000000001"/>
    <n v="0"/>
    <n v="6889.3580000000002"/>
    <n v="106.947"/>
    <n v="298"/>
    <n v="504"/>
    <n v="0"/>
    <n v="295"/>
    <n v="383"/>
  </r>
  <r>
    <d v="2014-07-01T00:00:00"/>
    <x v="6"/>
    <x v="19"/>
    <n v="2051.0515999999998"/>
    <n v="16.613399999999999"/>
    <n v="0"/>
    <n v="1989.0236"/>
    <n v="45.4146"/>
    <n v="6981.4560000000001"/>
    <n v="33.095999999999997"/>
    <n v="0"/>
    <n v="6827.2420000000002"/>
    <n v="121.11799999999999"/>
    <n v="294"/>
    <n v="502"/>
    <n v="0"/>
    <n v="291"/>
    <n v="375"/>
  </r>
  <r>
    <d v="2014-08-01T00:00:00"/>
    <x v="7"/>
    <x v="19"/>
    <n v="2057.7782000000002"/>
    <n v="15.9162"/>
    <n v="0"/>
    <n v="2007.7393999999999"/>
    <n v="34.122599999999998"/>
    <n v="7043.5680000000002"/>
    <n v="33.661999999999999"/>
    <n v="0"/>
    <n v="6916.634"/>
    <n v="93.272000000000006"/>
    <n v="292"/>
    <n v="473"/>
    <n v="0"/>
    <n v="290"/>
    <n v="366"/>
  </r>
  <r>
    <d v="2014-09-01T00:00:00"/>
    <x v="8"/>
    <x v="19"/>
    <n v="2015.0182"/>
    <n v="16.7834"/>
    <n v="0"/>
    <n v="1964.4117000000001"/>
    <n v="33.823099999999997"/>
    <n v="6939.63"/>
    <n v="34.64"/>
    <n v="0"/>
    <n v="6834.8270000000002"/>
    <n v="70.162999999999997"/>
    <n v="290"/>
    <n v="485"/>
    <n v="0"/>
    <n v="287"/>
    <n v="482"/>
  </r>
  <r>
    <d v="2014-10-01T00:00:00"/>
    <x v="9"/>
    <x v="19"/>
    <n v="2097.4737"/>
    <n v="17.472100000000001"/>
    <n v="0"/>
    <n v="2042.0535"/>
    <n v="37.948099999999997"/>
    <n v="7245.2719999999999"/>
    <n v="34.197000000000003"/>
    <n v="0"/>
    <n v="7126.5780000000004"/>
    <n v="84.497"/>
    <n v="289"/>
    <n v="511"/>
    <n v="0"/>
    <n v="287"/>
    <n v="449"/>
  </r>
  <r>
    <d v="2014-11-01T00:00:00"/>
    <x v="10"/>
    <x v="19"/>
    <n v="1824.4766"/>
    <n v="16.130800000000001"/>
    <n v="0"/>
    <n v="1774.3967"/>
    <n v="33.949100000000001"/>
    <n v="6389.2269999999999"/>
    <n v="31.335000000000001"/>
    <n v="0"/>
    <n v="6271.0770000000002"/>
    <n v="86.814999999999998"/>
    <n v="286"/>
    <n v="515"/>
    <n v="0"/>
    <n v="283"/>
    <n v="391"/>
  </r>
  <r>
    <d v="2014-12-01T00:00:00"/>
    <x v="11"/>
    <x v="19"/>
    <n v="2291.6336000000001"/>
    <n v="21.884699999999999"/>
    <n v="0"/>
    <n v="2183.1424000000002"/>
    <n v="86.606499999999997"/>
    <n v="7610.5630000000001"/>
    <n v="40.252000000000002"/>
    <n v="0"/>
    <n v="7371.3850000000002"/>
    <n v="198.92599999999999"/>
    <n v="301"/>
    <n v="544"/>
    <n v="0"/>
    <n v="296"/>
    <n v="435"/>
  </r>
  <r>
    <d v="2015-01-01T00:00:00"/>
    <x v="0"/>
    <x v="20"/>
    <n v="1671.4057"/>
    <n v="20.4238"/>
    <n v="0"/>
    <n v="1610.6541999999999"/>
    <n v="40.327599999999997"/>
    <n v="6005.902"/>
    <n v="39.868000000000002"/>
    <n v="0"/>
    <n v="5886.0469999999996"/>
    <n v="79.986999999999995"/>
    <n v="278"/>
    <n v="512"/>
    <n v="0"/>
    <n v="274"/>
    <n v="504"/>
  </r>
  <r>
    <d v="2015-02-01T00:00:00"/>
    <x v="1"/>
    <x v="20"/>
    <n v="1893.1655000000001"/>
    <n v="14.323700000000001"/>
    <n v="0"/>
    <n v="1842.8689999999999"/>
    <n v="35.972799999999999"/>
    <n v="6344.8119999999999"/>
    <n v="27.478999999999999"/>
    <n v="0"/>
    <n v="6236.4"/>
    <n v="80.933000000000007"/>
    <n v="298"/>
    <n v="521"/>
    <n v="0"/>
    <n v="296"/>
    <n v="444"/>
  </r>
  <r>
    <d v="2015-03-01T00:00:00"/>
    <x v="2"/>
    <x v="20"/>
    <n v="2305.4391999999998"/>
    <n v="14.576000000000001"/>
    <n v="0"/>
    <n v="2255.0109000000002"/>
    <n v="35.852400000000003"/>
    <n v="7448.3450000000003"/>
    <n v="27.675999999999998"/>
    <n v="0"/>
    <n v="7326.0140000000001"/>
    <n v="94.655000000000001"/>
    <n v="310"/>
    <n v="527"/>
    <n v="0"/>
    <n v="308"/>
    <n v="379"/>
  </r>
  <r>
    <d v="2015-04-01T00:00:00"/>
    <x v="3"/>
    <x v="20"/>
    <n v="2047.7710999999999"/>
    <n v="13.446899999999999"/>
    <n v="0"/>
    <n v="1993.4105999999999"/>
    <n v="40.913499999999999"/>
    <n v="6916.0709999999999"/>
    <n v="25.547000000000001"/>
    <n v="0"/>
    <n v="6806.6409999999996"/>
    <n v="83.882999999999996"/>
    <n v="296"/>
    <n v="526"/>
    <n v="0"/>
    <n v="293"/>
    <n v="488"/>
  </r>
  <r>
    <d v="2015-05-01T00:00:00"/>
    <x v="4"/>
    <x v="20"/>
    <n v="2247.4371999999998"/>
    <n v="11.942299999999999"/>
    <n v="0"/>
    <n v="2194.7557000000002"/>
    <n v="40.739199999999997"/>
    <n v="8036.4160000000002"/>
    <n v="24.030999999999999"/>
    <n v="0"/>
    <n v="7917.7510000000002"/>
    <n v="94.634"/>
    <n v="280"/>
    <n v="497"/>
    <n v="0"/>
    <n v="277"/>
    <n v="430"/>
  </r>
  <r>
    <d v="2015-06-01T00:00:00"/>
    <x v="5"/>
    <x v="20"/>
    <n v="2198.2764999999999"/>
    <n v="12.4983"/>
    <n v="0"/>
    <n v="2146.4036999999998"/>
    <n v="39.374499999999998"/>
    <n v="7437.4889999999996"/>
    <n v="23.881"/>
    <n v="0"/>
    <n v="7297.3530000000001"/>
    <n v="116.255"/>
    <n v="296"/>
    <n v="523"/>
    <n v="0"/>
    <n v="294"/>
    <n v="339"/>
  </r>
  <r>
    <d v="2015-07-01T00:00:00"/>
    <x v="6"/>
    <x v="20"/>
    <n v="2288.9386"/>
    <n v="13.413500000000001"/>
    <n v="0"/>
    <n v="2232.808"/>
    <n v="42.717100000000002"/>
    <n v="7563.3559999999998"/>
    <n v="24.478000000000002"/>
    <n v="0"/>
    <n v="7409.5379999999996"/>
    <n v="129.34"/>
    <n v="303"/>
    <n v="548"/>
    <n v="0"/>
    <n v="301"/>
    <n v="330"/>
  </r>
  <r>
    <d v="2015-08-01T00:00:00"/>
    <x v="7"/>
    <x v="20"/>
    <n v="2308.9319999999998"/>
    <n v="10.921200000000001"/>
    <n v="0"/>
    <n v="2271.8766000000001"/>
    <n v="26.1343"/>
    <n v="7770.2489999999998"/>
    <n v="19.998000000000001"/>
    <n v="0"/>
    <n v="7665.0439999999999"/>
    <n v="85.206999999999994"/>
    <n v="297"/>
    <n v="546"/>
    <n v="0"/>
    <n v="296"/>
    <n v="307"/>
  </r>
  <r>
    <d v="2015-09-01T00:00:00"/>
    <x v="8"/>
    <x v="20"/>
    <n v="2097.7903000000001"/>
    <n v="10.2164"/>
    <n v="0"/>
    <n v="2060.134"/>
    <n v="27.439900000000002"/>
    <n v="7312.4930000000004"/>
    <n v="18.753"/>
    <n v="0"/>
    <n v="7205.32"/>
    <n v="88.42"/>
    <n v="287"/>
    <n v="545"/>
    <n v="0"/>
    <n v="286"/>
    <n v="310"/>
  </r>
  <r>
    <d v="2015-10-01T00:00:00"/>
    <x v="9"/>
    <x v="20"/>
    <n v="2131.7302"/>
    <n v="9.9856999999999996"/>
    <n v="0"/>
    <n v="2095.5387999999998"/>
    <n v="26.2057"/>
    <n v="7596.9210000000003"/>
    <n v="18.690000000000001"/>
    <n v="0"/>
    <n v="7492.5290000000005"/>
    <n v="85.701999999999998"/>
    <n v="281"/>
    <n v="534"/>
    <n v="0"/>
    <n v="280"/>
    <n v="306"/>
  </r>
  <r>
    <d v="2015-11-01T00:00:00"/>
    <x v="10"/>
    <x v="20"/>
    <n v="1944.0834"/>
    <n v="11.1448"/>
    <n v="0"/>
    <n v="1895.4205999999999"/>
    <n v="37.517899999999997"/>
    <n v="6892.7250000000004"/>
    <n v="20.423999999999999"/>
    <n v="0"/>
    <n v="6760.0649999999996"/>
    <n v="112.236"/>
    <n v="282"/>
    <n v="546"/>
    <n v="0"/>
    <n v="280"/>
    <n v="334"/>
  </r>
  <r>
    <d v="2015-12-01T00:00:00"/>
    <x v="11"/>
    <x v="20"/>
    <n v="2241.5383000000002"/>
    <n v="19.282599999999999"/>
    <n v="0"/>
    <n v="2138.3789999999999"/>
    <n v="83.8767"/>
    <n v="7785.8630000000003"/>
    <n v="32.613999999999997"/>
    <n v="0"/>
    <n v="7535.3"/>
    <n v="217.94900000000001"/>
    <n v="288"/>
    <n v="591"/>
    <n v="0"/>
    <n v="284"/>
    <n v="385"/>
  </r>
  <r>
    <d v="2016-01-01T00:00:00"/>
    <x v="0"/>
    <x v="21"/>
    <n v="1976.3992000000001"/>
    <n v="15.7037"/>
    <n v="0"/>
    <n v="1920.0938000000001"/>
    <n v="40.601700000000001"/>
    <n v="6653.0910000000003"/>
    <n v="26.603999999999999"/>
    <n v="0"/>
    <n v="6544.1450000000004"/>
    <n v="82.341999999999999"/>
    <n v="297"/>
    <n v="590"/>
    <n v="0"/>
    <n v="293"/>
    <n v="493"/>
  </r>
  <r>
    <d v="2016-02-01T00:00:00"/>
    <x v="1"/>
    <x v="21"/>
    <n v="2123.221"/>
    <n v="13.0655"/>
    <n v="0"/>
    <n v="2087.6338000000001"/>
    <n v="22.521599999999999"/>
    <n v="7356.1970000000001"/>
    <n v="23.385999999999999"/>
    <n v="0"/>
    <n v="7269.8879999999999"/>
    <n v="62.923000000000002"/>
    <n v="289"/>
    <n v="559"/>
    <n v="0"/>
    <n v="287"/>
    <n v="358"/>
  </r>
  <r>
    <d v="2016-03-01T00:00:00"/>
    <x v="2"/>
    <x v="21"/>
    <n v="2235.7849000000001"/>
    <n v="14.264099999999999"/>
    <n v="0"/>
    <n v="2189.8910000000001"/>
    <n v="31.629799999999999"/>
    <n v="7715.1239999999998"/>
    <n v="25.149000000000001"/>
    <n v="0"/>
    <n v="7608.7879999999996"/>
    <n v="81.186999999999998"/>
    <n v="290"/>
    <n v="567"/>
    <n v="0"/>
    <n v="288"/>
    <n v="390"/>
  </r>
  <r>
    <d v="2016-04-01T00:00:00"/>
    <x v="3"/>
    <x v="21"/>
    <n v="2213.3933999999999"/>
    <n v="12.9505"/>
    <n v="0"/>
    <n v="2169.5743000000002"/>
    <n v="30.868600000000001"/>
    <n v="7581.08"/>
    <n v="22.356999999999999"/>
    <n v="0"/>
    <n v="7482.0320000000002"/>
    <n v="76.691000000000003"/>
    <n v="292"/>
    <n v="579"/>
    <n v="0"/>
    <n v="290"/>
    <n v="403"/>
  </r>
  <r>
    <d v="2016-05-01T00:00:00"/>
    <x v="4"/>
    <x v="21"/>
    <n v="2532.8537999999999"/>
    <n v="14.953799999999999"/>
    <n v="0"/>
    <n v="2482.6803"/>
    <n v="35.219700000000003"/>
    <n v="8879.6820000000007"/>
    <n v="25.843"/>
    <n v="0"/>
    <n v="8761.9660000000003"/>
    <n v="91.873000000000005"/>
    <n v="285"/>
    <n v="579"/>
    <n v="0"/>
    <n v="283"/>
    <n v="383"/>
  </r>
  <r>
    <d v="2016-06-01T00:00:00"/>
    <x v="5"/>
    <x v="21"/>
    <n v="2366.6498000000001"/>
    <n v="13.1145"/>
    <n v="0"/>
    <n v="2311.92"/>
    <n v="41.615299999999998"/>
    <n v="7900.9719999999998"/>
    <n v="22.408000000000001"/>
    <n v="0"/>
    <n v="7766.8729999999996"/>
    <n v="111.691"/>
    <n v="300"/>
    <n v="585"/>
    <n v="0"/>
    <n v="298"/>
    <n v="373"/>
  </r>
  <r>
    <d v="2016-07-01T00:00:00"/>
    <x v="6"/>
    <x v="21"/>
    <n v="2306.0699"/>
    <n v="13.2187"/>
    <n v="0"/>
    <n v="2239.3384999999998"/>
    <n v="53.512700000000002"/>
    <n v="7877.98"/>
    <n v="22.763000000000002"/>
    <n v="0"/>
    <n v="7713.3339999999998"/>
    <n v="141.88300000000001"/>
    <n v="293"/>
    <n v="581"/>
    <n v="0"/>
    <n v="290"/>
    <n v="377"/>
  </r>
  <r>
    <d v="2016-08-01T00:00:00"/>
    <x v="7"/>
    <x v="21"/>
    <n v="2318.9360999999999"/>
    <n v="12.6945"/>
    <n v="0"/>
    <n v="2280.7822999999999"/>
    <n v="25.459299999999999"/>
    <n v="7995.9279999999999"/>
    <n v="22.998999999999999"/>
    <n v="0"/>
    <n v="7899.3329999999996"/>
    <n v="73.596000000000004"/>
    <n v="290"/>
    <n v="552"/>
    <n v="0"/>
    <n v="289"/>
    <n v="346"/>
  </r>
  <r>
    <d v="2016-09-01T00:00:00"/>
    <x v="8"/>
    <x v="21"/>
    <n v="2441.4270000000001"/>
    <n v="11.8977"/>
    <n v="0"/>
    <n v="2406.8054999999999"/>
    <n v="22.7239"/>
    <n v="8037.1549999999997"/>
    <n v="20.870999999999999"/>
    <n v="0"/>
    <n v="7945.0640000000003"/>
    <n v="71.22"/>
    <n v="304"/>
    <n v="570"/>
    <n v="0"/>
    <n v="303"/>
    <n v="319"/>
  </r>
  <r>
    <d v="2016-10-01T00:00:00"/>
    <x v="9"/>
    <x v="21"/>
    <n v="2273.9135999999999"/>
    <n v="10.324400000000001"/>
    <n v="0"/>
    <n v="2233.549"/>
    <n v="30.040199999999999"/>
    <n v="8171.3270000000002"/>
    <n v="20.332999999999998"/>
    <n v="0"/>
    <n v="8060.0410000000002"/>
    <n v="90.953000000000003"/>
    <n v="278"/>
    <n v="508"/>
    <n v="0"/>
    <n v="277"/>
    <n v="330"/>
  </r>
  <r>
    <d v="2016-11-01T00:00:00"/>
    <x v="10"/>
    <x v="21"/>
    <n v="2444.7874000000002"/>
    <n v="12.1515"/>
    <n v="0"/>
    <n v="2392.3429000000001"/>
    <n v="40.292999999999999"/>
    <n v="7687.6769999999997"/>
    <n v="20.864000000000001"/>
    <n v="0"/>
    <n v="7548.9229999999998"/>
    <n v="117.89"/>
    <n v="318"/>
    <n v="582"/>
    <n v="0"/>
    <n v="317"/>
    <n v="342"/>
  </r>
  <r>
    <d v="2016-12-01T00:00:00"/>
    <x v="11"/>
    <x v="21"/>
    <n v="2397.7076999999999"/>
    <n v="14.8957"/>
    <n v="0"/>
    <n v="2301.6383000000001"/>
    <n v="81.173599999999993"/>
    <n v="8319.902"/>
    <n v="25.341999999999999"/>
    <n v="0"/>
    <n v="8079.68"/>
    <n v="214.88"/>
    <n v="288"/>
    <n v="588"/>
    <n v="0"/>
    <n v="285"/>
    <n v="378"/>
  </r>
  <r>
    <d v="2017-01-01T00:00:00"/>
    <x v="0"/>
    <x v="22"/>
    <n v="2196.0864999999999"/>
    <n v="15.598000000000001"/>
    <n v="0"/>
    <n v="2133.1559000000002"/>
    <n v="47.332700000000003"/>
    <n v="7451.39"/>
    <n v="26.702999999999999"/>
    <n v="0"/>
    <n v="7318.0749999999998"/>
    <n v="106.61199999999999"/>
    <n v="295"/>
    <n v="584"/>
    <n v="0"/>
    <n v="291"/>
    <n v="444"/>
  </r>
  <r>
    <d v="2017-02-01T00:00:00"/>
    <x v="1"/>
    <x v="22"/>
    <n v="2191.0385999999999"/>
    <n v="11.636200000000001"/>
    <n v="0"/>
    <n v="2148.2620000000002"/>
    <n v="31.1403"/>
    <n v="7265.9179999999997"/>
    <n v="20.533000000000001"/>
    <n v="0"/>
    <n v="7159.4660000000003"/>
    <n v="85.918999999999997"/>
    <n v="302"/>
    <n v="567"/>
    <n v="0"/>
    <n v="300"/>
    <n v="362"/>
  </r>
  <r>
    <d v="2017-03-01T00:00:00"/>
    <x v="2"/>
    <x v="22"/>
    <n v="2678.2118"/>
    <n v="10.706"/>
    <n v="0"/>
    <n v="2629.5043000000001"/>
    <n v="38.0015"/>
    <n v="8517.6479999999992"/>
    <n v="18.887"/>
    <n v="0"/>
    <n v="8400.6550000000007"/>
    <n v="98.105999999999995"/>
    <n v="314"/>
    <n v="567"/>
    <n v="0"/>
    <n v="313"/>
    <n v="387"/>
  </r>
  <r>
    <d v="2017-04-01T00:00:00"/>
    <x v="3"/>
    <x v="22"/>
    <n v="2449.3006"/>
    <n v="9.7731999999999992"/>
    <n v="0"/>
    <n v="2399.7676000000001"/>
    <n v="39.759900000000002"/>
    <n v="8058.3119999999999"/>
    <n v="17.608000000000001"/>
    <n v="0"/>
    <n v="7947.5569999999998"/>
    <n v="93.147000000000006"/>
    <n v="304"/>
    <n v="555"/>
    <n v="0"/>
    <n v="302"/>
    <n v="427"/>
  </r>
  <r>
    <d v="2017-05-01T00:00:00"/>
    <x v="4"/>
    <x v="22"/>
    <n v="2754.1658000000002"/>
    <n v="14.6914"/>
    <n v="0"/>
    <n v="2701.1500999999998"/>
    <n v="38.324300000000001"/>
    <n v="9260.125"/>
    <n v="19.704999999999998"/>
    <n v="0"/>
    <n v="9137.6080000000002"/>
    <n v="102.812"/>
    <n v="297"/>
    <n v="746"/>
    <n v="0"/>
    <n v="296"/>
    <n v="373"/>
  </r>
  <r>
    <d v="2017-06-01T00:00:00"/>
    <x v="5"/>
    <x v="22"/>
    <n v="2609.6109999999999"/>
    <n v="15.892899999999999"/>
    <n v="0"/>
    <n v="2544.7950000000001"/>
    <n v="48.923099999999998"/>
    <n v="8417.5280000000002"/>
    <n v="27.244"/>
    <n v="0"/>
    <n v="8255.6470000000008"/>
    <n v="134.637"/>
    <n v="310"/>
    <n v="583"/>
    <n v="0"/>
    <n v="308"/>
    <n v="363"/>
  </r>
  <r>
    <d v="2017-07-01T00:00:00"/>
    <x v="6"/>
    <x v="22"/>
    <n v="2663.0470999999998"/>
    <n v="16.448699999999999"/>
    <n v="0"/>
    <n v="2588.0576000000001"/>
    <n v="58.540700000000001"/>
    <n v="8609.1830000000009"/>
    <n v="27.648"/>
    <n v="0"/>
    <n v="8449.2129999999997"/>
    <n v="132.322"/>
    <n v="309"/>
    <n v="595"/>
    <n v="0"/>
    <n v="306"/>
    <n v="442"/>
  </r>
  <r>
    <d v="2017-08-01T00:00:00"/>
    <x v="7"/>
    <x v="22"/>
    <n v="2678.7156"/>
    <n v="15.5815"/>
    <n v="0"/>
    <n v="2622.2224000000001"/>
    <n v="40.911700000000003"/>
    <n v="8643.902"/>
    <n v="25.751999999999999"/>
    <n v="0"/>
    <n v="8519.5120000000006"/>
    <n v="98.638000000000005"/>
    <n v="310"/>
    <n v="605"/>
    <n v="0"/>
    <n v="308"/>
    <n v="415"/>
  </r>
  <r>
    <d v="2017-09-01T00:00:00"/>
    <x v="8"/>
    <x v="22"/>
    <n v="2550.7464"/>
    <n v="12.126899999999999"/>
    <n v="0"/>
    <n v="2506.1208999999999"/>
    <n v="32.498600000000003"/>
    <n v="8417.8469999999998"/>
    <n v="20.405999999999999"/>
    <n v="0"/>
    <n v="8315.9189999999999"/>
    <n v="81.522000000000006"/>
    <n v="303"/>
    <n v="594"/>
    <n v="0"/>
    <n v="301"/>
    <n v="399"/>
  </r>
  <r>
    <d v="2017-10-01T00:00:00"/>
    <x v="9"/>
    <x v="22"/>
    <n v="2873.1653999999999"/>
    <n v="13.020200000000001"/>
    <n v="0"/>
    <n v="2822.4114"/>
    <n v="37.733800000000002"/>
    <n v="9257.9750000000004"/>
    <n v="22.353000000000002"/>
    <n v="0"/>
    <n v="9137.8160000000007"/>
    <n v="97.805999999999997"/>
    <n v="310"/>
    <n v="582"/>
    <n v="0"/>
    <n v="309"/>
    <n v="386"/>
  </r>
  <r>
    <d v="2017-11-01T00:00:00"/>
    <x v="10"/>
    <x v="22"/>
    <n v="2473.8380999999999"/>
    <n v="11.255599999999999"/>
    <n v="0"/>
    <n v="2414.9146000000001"/>
    <n v="47.6678"/>
    <n v="8029.8609999999999"/>
    <n v="19.611000000000001"/>
    <n v="0"/>
    <n v="7879.991"/>
    <n v="130.25899999999999"/>
    <n v="308"/>
    <n v="574"/>
    <n v="0"/>
    <n v="306"/>
    <n v="366"/>
  </r>
  <r>
    <d v="2017-12-01T00:00:00"/>
    <x v="11"/>
    <x v="22"/>
    <n v="2824.9872999999998"/>
    <n v="15.3512"/>
    <n v="0"/>
    <n v="2723.7239"/>
    <n v="85.912199999999999"/>
    <n v="9104.8109999999997"/>
    <n v="24.303999999999998"/>
    <n v="0"/>
    <n v="8862.5280000000002"/>
    <n v="217.97900000000001"/>
    <n v="310"/>
    <n v="632"/>
    <n v="0"/>
    <n v="307"/>
    <n v="394"/>
  </r>
  <r>
    <d v="2018-01-01T00:00:00"/>
    <x v="0"/>
    <x v="23"/>
    <n v="2308.8292000000001"/>
    <n v="17.804099999999998"/>
    <n v="0"/>
    <n v="2228.1"/>
    <n v="62.9251"/>
    <n v="7590.0559999999996"/>
    <n v="29.248000000000001"/>
    <n v="0"/>
    <n v="7428.2659999999996"/>
    <n v="132.542"/>
    <n v="304"/>
    <n v="609"/>
    <n v="0"/>
    <n v="300"/>
    <n v="475"/>
  </r>
  <r>
    <d v="2018-02-01T00:00:00"/>
    <x v="1"/>
    <x v="23"/>
    <n v="2292.3587000000002"/>
    <n v="11.857200000000001"/>
    <n v="0"/>
    <n v="2240.3982999999998"/>
    <n v="40.103200000000001"/>
    <n v="7628.06"/>
    <n v="19.599"/>
    <n v="0"/>
    <n v="7514.4049999999997"/>
    <n v="94.055999999999997"/>
    <n v="301"/>
    <n v="605"/>
    <n v="0"/>
    <n v="298"/>
    <n v="426"/>
  </r>
  <r>
    <d v="2018-03-01T00:00:00"/>
    <x v="2"/>
    <x v="23"/>
    <n v="2730.9501"/>
    <n v="10.0238"/>
    <n v="0"/>
    <n v="2676.9479999999999"/>
    <n v="43.978299999999997"/>
    <n v="8823.65"/>
    <n v="16.728000000000002"/>
    <n v="0"/>
    <n v="8702.6450000000004"/>
    <n v="104.277"/>
    <n v="310"/>
    <n v="599"/>
    <n v="0"/>
    <n v="308"/>
    <n v="422"/>
  </r>
  <r>
    <d v="2018-04-01T00:00:00"/>
    <x v="3"/>
    <x v="23"/>
    <n v="2816.4144999999999"/>
    <n v="10.577"/>
    <n v="0"/>
    <n v="2771.5302000000001"/>
    <n v="34.307299999999998"/>
    <n v="8899.4349999999995"/>
    <n v="17.823"/>
    <n v="0"/>
    <n v="8794.5689999999995"/>
    <n v="87.043000000000006"/>
    <n v="316"/>
    <n v="593"/>
    <n v="0"/>
    <n v="315"/>
    <n v="394"/>
  </r>
  <r>
    <d v="2018-05-01T00:00:00"/>
    <x v="4"/>
    <x v="23"/>
    <n v="3232.3766000000001"/>
    <n v="11.5601"/>
    <n v="0"/>
    <n v="3182.1404000000002"/>
    <n v="38.676099999999998"/>
    <n v="10077.445"/>
    <n v="18.940000000000001"/>
    <n v="0"/>
    <n v="9952.1219999999994"/>
    <n v="106.383"/>
    <n v="321"/>
    <n v="610"/>
    <n v="0"/>
    <n v="320"/>
    <n v="364"/>
  </r>
  <r>
    <d v="2018-06-01T00:00:00"/>
    <x v="5"/>
    <x v="23"/>
    <n v="3224.4911000000002"/>
    <n v="10.276"/>
    <n v="0"/>
    <n v="3161.8231000000001"/>
    <n v="52.392000000000003"/>
    <n v="9468.2309999999998"/>
    <n v="16.216999999999999"/>
    <n v="0"/>
    <n v="9324.4979999999996"/>
    <n v="127.51600000000001"/>
    <n v="341"/>
    <n v="634"/>
    <n v="0"/>
    <n v="339"/>
    <n v="411"/>
  </r>
  <r>
    <d v="2018-07-01T00:00:00"/>
    <x v="6"/>
    <x v="23"/>
    <n v="2930.1358"/>
    <n v="10.980600000000001"/>
    <n v="0"/>
    <n v="2868.2148000000002"/>
    <n v="50.940399999999997"/>
    <n v="9108.1980000000003"/>
    <n v="18.093"/>
    <n v="0"/>
    <n v="8963.5329999999994"/>
    <n v="126.572"/>
    <n v="322"/>
    <n v="607"/>
    <n v="0"/>
    <n v="320"/>
    <n v="402"/>
  </r>
  <r>
    <d v="2018-08-01T00:00:00"/>
    <x v="7"/>
    <x v="23"/>
    <n v="2961.1493999999998"/>
    <n v="10.689"/>
    <n v="0"/>
    <n v="2885.4760999999999"/>
    <n v="64.984300000000005"/>
    <n v="9183.4639999999999"/>
    <n v="17.773"/>
    <n v="0"/>
    <n v="9006.5820000000003"/>
    <n v="159.10900000000001"/>
    <n v="322"/>
    <n v="601"/>
    <n v="0"/>
    <n v="320"/>
    <n v="408"/>
  </r>
  <r>
    <d v="2018-09-01T00:00:00"/>
    <x v="8"/>
    <x v="23"/>
    <n v="2796.1365999999998"/>
    <n v="8.4215999999999998"/>
    <n v="0"/>
    <n v="2747.1388000000002"/>
    <n v="40.5762"/>
    <n v="8876.5560000000005"/>
    <n v="13.939"/>
    <n v="0"/>
    <n v="8757.3979999999992"/>
    <n v="105.21899999999999"/>
    <n v="315"/>
    <n v="604"/>
    <n v="0"/>
    <n v="314"/>
    <n v="386"/>
  </r>
  <r>
    <d v="2018-10-01T00:00:00"/>
    <x v="9"/>
    <x v="23"/>
    <n v="3115.6071999999999"/>
    <n v="10.6417"/>
    <n v="0"/>
    <n v="3064.1378"/>
    <n v="40.8277"/>
    <n v="9654.0949999999993"/>
    <n v="17.495999999999999"/>
    <n v="0"/>
    <n v="9532.9590000000007"/>
    <n v="103.64"/>
    <n v="323"/>
    <n v="608"/>
    <n v="0"/>
    <n v="321"/>
    <n v="394"/>
  </r>
  <r>
    <d v="2018-11-01T00:00:00"/>
    <x v="10"/>
    <x v="23"/>
    <n v="3005.4157"/>
    <n v="11.0495"/>
    <n v="0"/>
    <n v="2964.7637"/>
    <n v="29.602499999999999"/>
    <n v="8803.52"/>
    <n v="16.788"/>
    <n v="0"/>
    <n v="8676.7379999999994"/>
    <n v="109.994"/>
    <n v="341"/>
    <n v="658"/>
    <n v="0"/>
    <n v="342"/>
    <n v="269"/>
  </r>
  <r>
    <d v="2018-12-01T00:00:00"/>
    <x v="11"/>
    <x v="23"/>
    <n v="3021.2516000000001"/>
    <n v="15.2807"/>
    <n v="0"/>
    <n v="2909.5567000000001"/>
    <n v="96.414199999999994"/>
    <n v="9516.2790000000005"/>
    <n v="22.992000000000001"/>
    <n v="0"/>
    <n v="9289.2450000000008"/>
    <n v="204.042"/>
    <n v="317"/>
    <n v="665"/>
    <n v="0"/>
    <n v="313"/>
    <n v="473"/>
  </r>
  <r>
    <d v="2019-01-01T00:00:00"/>
    <x v="0"/>
    <x v="24"/>
    <n v="2527.5581000000002"/>
    <n v="15.6075"/>
    <n v="0"/>
    <n v="2468.3361"/>
    <n v="43.614600000000003"/>
    <n v="8113.1009999999997"/>
    <n v="23.652999999999999"/>
    <n v="0"/>
    <n v="7983.2489999999998"/>
    <n v="106.199"/>
    <n v="312"/>
    <n v="660"/>
    <n v="0"/>
    <n v="309"/>
    <n v="411"/>
  </r>
  <r>
    <d v="2019-02-01T00:00:00"/>
    <x v="1"/>
    <x v="24"/>
    <n v="2506.4369000000002"/>
    <n v="11.507099999999999"/>
    <n v="0"/>
    <n v="2465.3510999999999"/>
    <n v="29.578700000000001"/>
    <n v="8073.9210000000003"/>
    <n v="17.209"/>
    <n v="0"/>
    <n v="7980.05"/>
    <n v="76.662000000000006"/>
    <n v="310"/>
    <n v="669"/>
    <n v="0"/>
    <n v="309"/>
    <n v="386"/>
  </r>
  <r>
    <d v="2019-03-01T00:00:00"/>
    <x v="2"/>
    <x v="24"/>
    <n v="3038.1021999999998"/>
    <n v="11.690799999999999"/>
    <n v="0"/>
    <n v="2996.2847000000002"/>
    <n v="30.1267"/>
    <n v="9528.0640000000003"/>
    <n v="17.646000000000001"/>
    <n v="0"/>
    <n v="9418.3320000000003"/>
    <n v="92.085999999999999"/>
    <n v="319"/>
    <n v="663"/>
    <n v="0"/>
    <n v="318"/>
    <n v="327"/>
  </r>
  <r>
    <d v="2019-04-01T00:00:00"/>
    <x v="3"/>
    <x v="24"/>
    <n v="3014.8780999999999"/>
    <n v="11.056100000000001"/>
    <n v="0"/>
    <n v="2967.4524000000001"/>
    <n v="36.369700000000002"/>
    <n v="9396.2919999999995"/>
    <n v="16.954999999999998"/>
    <n v="0"/>
    <n v="9298.9449999999997"/>
    <n v="80.391999999999996"/>
    <n v="321"/>
    <n v="652"/>
    <n v="0"/>
    <n v="319"/>
    <n v="452"/>
  </r>
  <r>
    <d v="2019-05-01T00:00:00"/>
    <x v="4"/>
    <x v="24"/>
    <n v="3387.2534000000001"/>
    <n v="12.0009"/>
    <n v="0"/>
    <n v="3343.8130999999998"/>
    <n v="31.439499999999999"/>
    <n v="10537.108"/>
    <n v="18.286999999999999"/>
    <n v="0"/>
    <n v="10434.232"/>
    <n v="84.588999999999999"/>
    <n v="321"/>
    <n v="656"/>
    <n v="0"/>
    <n v="320"/>
    <n v="372"/>
  </r>
  <r>
    <d v="2019-06-01T00:00:00"/>
    <x v="5"/>
    <x v="24"/>
    <n v="3293.2442000000001"/>
    <n v="10.6777"/>
    <n v="0"/>
    <n v="3253.6590999999999"/>
    <n v="28.907299999999999"/>
    <n v="9839.07"/>
    <n v="15.85"/>
    <n v="0"/>
    <n v="9730.1110000000008"/>
    <n v="93.108999999999995"/>
    <n v="335"/>
    <n v="674"/>
    <n v="0"/>
    <n v="334"/>
    <n v="310"/>
  </r>
  <r>
    <d v="2019-07-01T00:00:00"/>
    <x v="6"/>
    <x v="24"/>
    <n v="3371.3038999999999"/>
    <n v="13.494400000000001"/>
    <n v="0"/>
    <n v="3325.3478"/>
    <n v="32.4617"/>
    <n v="9940.3809999999994"/>
    <n v="19.381"/>
    <n v="0"/>
    <n v="9822.4809999999998"/>
    <n v="98.519000000000005"/>
    <n v="339"/>
    <n v="696"/>
    <n v="0"/>
    <n v="339"/>
    <n v="329"/>
  </r>
  <r>
    <d v="2019-08-01T00:00:00"/>
    <x v="7"/>
    <x v="24"/>
    <n v="3487.4940000000001"/>
    <n v="12.0129"/>
    <n v="0"/>
    <n v="3453.4524000000001"/>
    <n v="22.0288"/>
    <n v="10148.002"/>
    <n v="17.010000000000002"/>
    <n v="0"/>
    <n v="10074.477999999999"/>
    <n v="56.514000000000003"/>
    <n v="344"/>
    <n v="706"/>
    <n v="0"/>
    <n v="343"/>
    <n v="390"/>
  </r>
  <r>
    <d v="2019-09-01T00:00:00"/>
    <x v="8"/>
    <x v="24"/>
    <n v="3181.9306999999999"/>
    <n v="9.4242000000000008"/>
    <n v="0"/>
    <n v="3152.6972999999998"/>
    <n v="19.809200000000001"/>
    <n v="9701.7729999999992"/>
    <n v="14.118"/>
    <n v="0"/>
    <n v="9629.009"/>
    <n v="58.646000000000001"/>
    <n v="328"/>
    <n v="668"/>
    <n v="0"/>
    <n v="327"/>
    <n v="338"/>
  </r>
  <r>
    <d v="2019-10-01T00:00:00"/>
    <x v="9"/>
    <x v="24"/>
    <n v="3238.0284000000001"/>
    <n v="10.1525"/>
    <n v="0"/>
    <n v="3207.0513000000001"/>
    <n v="20.8246"/>
    <n v="10051.686"/>
    <n v="15.22"/>
    <n v="0"/>
    <n v="9979.9330000000009"/>
    <n v="56.533000000000001"/>
    <n v="322"/>
    <n v="667"/>
    <n v="0"/>
    <n v="321"/>
    <n v="368"/>
  </r>
  <r>
    <d v="2019-11-01T00:00:00"/>
    <x v="10"/>
    <x v="24"/>
    <n v="3006.5140000000001"/>
    <n v="10.5337"/>
    <n v="0"/>
    <n v="2974.4236999999998"/>
    <n v="21.5566"/>
    <n v="9131.2829999999994"/>
    <n v="15.214"/>
    <n v="0"/>
    <n v="9049.6479999999992"/>
    <n v="66.421000000000006"/>
    <n v="329"/>
    <n v="692"/>
    <n v="0"/>
    <n v="329"/>
    <n v="325"/>
  </r>
  <r>
    <d v="2019-12-01T00:00:00"/>
    <x v="11"/>
    <x v="24"/>
    <n v="3197.7419"/>
    <n v="15.0284"/>
    <n v="0"/>
    <n v="3125.5241999999998"/>
    <n v="57.189300000000003"/>
    <n v="9785.134"/>
    <n v="21.163"/>
    <n v="0"/>
    <n v="9624.9750000000004"/>
    <n v="138.99600000000001"/>
    <n v="327"/>
    <n v="710"/>
    <n v="0"/>
    <n v="325"/>
    <n v="411"/>
  </r>
  <r>
    <d v="2020-01-01T00:00:00"/>
    <x v="0"/>
    <x v="25"/>
    <n v="2676.6262999999999"/>
    <n v="15.700699999999999"/>
    <n v="0"/>
    <n v="2621.6896000000002"/>
    <n v="39.235999999999997"/>
    <n v="8337.7669999999998"/>
    <n v="22.088000000000001"/>
    <n v="0"/>
    <n v="8241.1010000000006"/>
    <n v="74.578000000000003"/>
    <n v="321"/>
    <n v="711"/>
    <n v="0"/>
    <n v="318"/>
    <n v="526"/>
  </r>
  <r>
    <d v="2020-02-01T00:00:00"/>
    <x v="1"/>
    <x v="25"/>
    <n v="2803.4987999999998"/>
    <n v="11.244899999999999"/>
    <n v="0"/>
    <n v="2767.0142999999998"/>
    <n v="25.2395"/>
    <n v="8729.116"/>
    <n v="16.106000000000002"/>
    <n v="0"/>
    <n v="8647.1880000000001"/>
    <n v="65.822000000000003"/>
    <n v="321"/>
    <n v="698"/>
    <n v="0"/>
    <n v="320"/>
    <n v="383"/>
  </r>
  <r>
    <d v="2020-03-01T00:00:00"/>
    <x v="2"/>
    <x v="25"/>
    <n v="4147.1145999999999"/>
    <n v="13.703200000000001"/>
    <n v="0"/>
    <n v="4119.9465"/>
    <n v="13.4649"/>
    <n v="10992.311"/>
    <n v="17.366"/>
    <n v="0"/>
    <n v="10925.642"/>
    <n v="49.302999999999997"/>
    <n v="377"/>
    <n v="789"/>
    <n v="0"/>
    <n v="377"/>
    <n v="273"/>
  </r>
  <r>
    <d v="2020-04-01T00:00:00"/>
    <x v="3"/>
    <x v="25"/>
    <n v="2982.6531"/>
    <n v="8.2576999999999998"/>
    <n v="0"/>
    <n v="2951.8384999999998"/>
    <n v="22.556899999999999"/>
    <n v="9036.4009999999998"/>
    <n v="10.654"/>
    <n v="0"/>
    <n v="8967.491"/>
    <n v="58.256"/>
    <n v="330"/>
    <n v="775"/>
    <n v="0"/>
    <n v="329"/>
    <n v="387"/>
  </r>
  <r>
    <d v="2020-05-01T00:00:00"/>
    <x v="4"/>
    <x v="25"/>
    <n v="3541.8263000000002"/>
    <n v="9.2713999999999999"/>
    <n v="0"/>
    <n v="3511.1154000000001"/>
    <n v="21.439499999999999"/>
    <n v="11058.406000000001"/>
    <n v="12.069000000000001"/>
    <n v="0"/>
    <n v="10984.450999999999"/>
    <n v="61.886000000000003"/>
    <n v="320"/>
    <n v="768"/>
    <n v="0"/>
    <n v="320"/>
    <n v="346"/>
  </r>
  <r>
    <d v="2020-06-01T00:00:00"/>
    <x v="5"/>
    <x v="25"/>
    <n v="3630.6224999999999"/>
    <n v="11.351000000000001"/>
    <n v="0"/>
    <n v="3596.6003999999998"/>
    <n v="22.671099999999999"/>
    <n v="10652.109"/>
    <n v="14.275"/>
    <n v="0"/>
    <n v="10570.772999999999"/>
    <n v="67.061000000000007"/>
    <n v="341"/>
    <n v="795"/>
    <n v="0"/>
    <n v="340"/>
    <n v="338"/>
  </r>
  <r>
    <d v="2020-07-01T00:00:00"/>
    <x v="6"/>
    <x v="25"/>
    <n v="3629.1536999999998"/>
    <n v="11.587400000000001"/>
    <n v="0"/>
    <n v="3592.6284000000001"/>
    <n v="24.937899999999999"/>
    <n v="10563.648999999999"/>
    <n v="14.04"/>
    <n v="0"/>
    <n v="10475.803"/>
    <n v="73.805999999999997"/>
    <n v="344"/>
    <n v="825"/>
    <n v="0"/>
    <n v="343"/>
    <n v="338"/>
  </r>
  <r>
    <d v="2020-08-01T00:00:00"/>
    <x v="7"/>
    <x v="25"/>
    <n v="3654.1707000000001"/>
    <n v="11.2454"/>
    <n v="0"/>
    <n v="3626.1273999999999"/>
    <n v="16.797899999999998"/>
    <n v="10700.012000000001"/>
    <n v="13.366"/>
    <n v="0"/>
    <n v="10638.432000000001"/>
    <n v="48.213999999999999"/>
    <n v="342"/>
    <n v="841"/>
    <n v="0"/>
    <n v="341"/>
    <n v="348"/>
  </r>
  <r>
    <d v="2020-09-01T00:00:00"/>
    <x v="8"/>
    <x v="25"/>
    <n v="3673.8418999999999"/>
    <n v="11.4102"/>
    <n v="0"/>
    <n v="3646.5540999999998"/>
    <n v="15.877700000000001"/>
    <n v="10575.437"/>
    <n v="14.239000000000001"/>
    <n v="0"/>
    <n v="10519.904"/>
    <n v="41.293999999999997"/>
    <n v="347"/>
    <n v="801"/>
    <n v="0"/>
    <n v="347"/>
    <n v="385"/>
  </r>
  <r>
    <d v="2020-10-01T00:00:00"/>
    <x v="9"/>
    <x v="25"/>
    <n v="3715.2525000000001"/>
    <n v="11.231199999999999"/>
    <n v="0"/>
    <n v="3684.8987000000002"/>
    <n v="19.122599999999998"/>
    <n v="10858.031999999999"/>
    <n v="13.702999999999999"/>
    <n v="0"/>
    <n v="10798.878000000001"/>
    <n v="45.451000000000001"/>
    <n v="342"/>
    <n v="820"/>
    <n v="0"/>
    <n v="341"/>
    <n v="421"/>
  </r>
  <r>
    <d v="2020-11-01T00:00:00"/>
    <x v="10"/>
    <x v="25"/>
    <n v="3491.9472999999998"/>
    <n v="11.209"/>
    <n v="0"/>
    <n v="3458.8591000000001"/>
    <n v="21.879100000000001"/>
    <n v="9995.9719999999998"/>
    <n v="13.462999999999999"/>
    <n v="0"/>
    <n v="9929.0769999999993"/>
    <n v="53.432000000000002"/>
    <n v="349"/>
    <n v="833"/>
    <n v="0"/>
    <n v="348"/>
    <n v="409"/>
  </r>
  <r>
    <d v="2020-12-01T00:00:00"/>
    <x v="11"/>
    <x v="25"/>
    <n v="3757.2255"/>
    <n v="23.1203"/>
    <n v="0"/>
    <n v="3706.3474000000001"/>
    <n v="27.7577"/>
    <n v="11058.271000000001"/>
    <n v="25.184999999999999"/>
    <n v="0"/>
    <n v="10956.963"/>
    <n v="76.123000000000005"/>
    <n v="340"/>
    <n v="918"/>
    <n v="0"/>
    <n v="338"/>
    <n v="365"/>
  </r>
  <r>
    <d v="2021-01-01T00:00:00"/>
    <x v="0"/>
    <x v="26"/>
    <n v="3392.8085000000001"/>
    <n v="16.558"/>
    <n v="0"/>
    <n v="3360.2208999999998"/>
    <n v="16.029499999999999"/>
    <n v="9869.2129999999997"/>
    <n v="18.568000000000001"/>
    <n v="0"/>
    <n v="9812.7090000000007"/>
    <n v="37.936"/>
    <n v="344"/>
    <n v="892"/>
    <n v="0"/>
    <n v="342"/>
    <n v="423"/>
  </r>
  <r>
    <d v="2021-02-01T00:00:00"/>
    <x v="1"/>
    <x v="26"/>
    <n v="3264.1015000000002"/>
    <n v="14.728899999999999"/>
    <n v="0"/>
    <n v="3237.7368999999999"/>
    <n v="11.6357"/>
    <n v="9286.1139999999996"/>
    <n v="16.96"/>
    <n v="0"/>
    <n v="9238.4940000000006"/>
    <n v="30.66"/>
    <n v="352"/>
    <n v="868"/>
    <n v="0"/>
    <n v="350"/>
    <n v="380"/>
  </r>
  <r>
    <d v="2021-03-01T00:00:00"/>
    <x v="2"/>
    <x v="26"/>
    <n v="4275.0937000000004"/>
    <n v="18.1523"/>
    <n v="0"/>
    <n v="4241.1098000000002"/>
    <n v="15.8316"/>
    <n v="11503.575999999999"/>
    <n v="21.425000000000001"/>
    <n v="0"/>
    <n v="11442.797"/>
    <n v="39.353999999999999"/>
    <n v="372"/>
    <n v="847"/>
    <n v="0"/>
    <n v="371"/>
    <n v="402"/>
  </r>
  <r>
    <d v="2021-04-01T00:00:00"/>
    <x v="3"/>
    <x v="26"/>
    <n v="4167.7596000000003"/>
    <n v="14.606299999999999"/>
    <n v="0"/>
    <n v="4137.1224000000002"/>
    <n v="16.030799999999999"/>
    <n v="11108.811"/>
    <n v="15.228"/>
    <n v="0"/>
    <n v="11053.735000000001"/>
    <n v="39.847999999999999"/>
    <n v="375"/>
    <n v="959"/>
    <n v="0"/>
    <n v="374"/>
    <n v="402"/>
  </r>
  <r>
    <d v="2021-05-01T00:00:00"/>
    <x v="4"/>
    <x v="26"/>
    <n v="4677.3251"/>
    <n v="20.183399999999999"/>
    <n v="0"/>
    <n v="4630.4305000000004"/>
    <n v="26.711099999999998"/>
    <n v="12725.484"/>
    <n v="19.579000000000001"/>
    <n v="0"/>
    <n v="12638.732"/>
    <n v="67.173000000000002"/>
    <n v="368"/>
    <n v="1031"/>
    <n v="0"/>
    <n v="366"/>
    <n v="398"/>
  </r>
  <r>
    <d v="2021-06-01T00:00:00"/>
    <x v="5"/>
    <x v="26"/>
    <n v="4605.3267999999998"/>
    <n v="27.4953"/>
    <n v="0"/>
    <n v="4544.3316999999997"/>
    <n v="33.4998"/>
    <n v="11685.991"/>
    <n v="24.106000000000002"/>
    <n v="0"/>
    <n v="11577.921"/>
    <n v="83.963999999999999"/>
    <n v="394"/>
    <n v="1141"/>
    <n v="0"/>
    <n v="392"/>
    <n v="399"/>
  </r>
  <r>
    <d v="2021-07-01T00:00:00"/>
    <x v="6"/>
    <x v="26"/>
    <n v="4616.2582000000002"/>
    <n v="18.900700000000001"/>
    <n v="0"/>
    <n v="4564.4956000000002"/>
    <n v="32.861899999999999"/>
    <n v="11802.096"/>
    <n v="17.888999999999999"/>
    <n v="0"/>
    <n v="11709.367"/>
    <n v="74.84"/>
    <n v="391"/>
    <n v="1057"/>
    <n v="0"/>
    <n v="390"/>
    <n v="439"/>
  </r>
  <r>
    <d v="2021-08-01T00:00:00"/>
    <x v="7"/>
    <x v="26"/>
    <n v="4776.7196000000004"/>
    <n v="16.747699999999998"/>
    <n v="0"/>
    <n v="4735.5691999999999"/>
    <n v="24.402799999999999"/>
    <n v="12342.876"/>
    <n v="16.135999999999999"/>
    <n v="0"/>
    <n v="12268.593999999999"/>
    <n v="58.146000000000001"/>
    <n v="387"/>
    <n v="1038"/>
    <n v="0"/>
    <n v="386"/>
    <n v="420"/>
  </r>
  <r>
    <d v="2021-09-01T00:00:00"/>
    <x v="8"/>
    <x v="26"/>
    <n v="4436.0128000000004"/>
    <n v="12.990500000000001"/>
    <n v="0"/>
    <n v="4399.4557000000004"/>
    <n v="23.566700000000001"/>
    <n v="11632.521000000001"/>
    <n v="13.161"/>
    <n v="0"/>
    <n v="11555.627"/>
    <n v="63.732999999999997"/>
    <n v="381"/>
    <n v="987"/>
    <n v="0"/>
    <n v="381"/>
    <n v="370"/>
  </r>
  <r>
    <d v="2021-10-01T00:00:00"/>
    <x v="9"/>
    <x v="26"/>
    <n v="4854.0865999999996"/>
    <n v="13.374700000000001"/>
    <n v="0"/>
    <n v="4812.3553000000002"/>
    <n v="28.3566"/>
    <n v="12639.985000000001"/>
    <n v="13.513"/>
    <n v="0"/>
    <n v="12550.637000000001"/>
    <n v="75.834999999999994"/>
    <n v="384"/>
    <n v="990"/>
    <n v="0"/>
    <n v="383"/>
    <n v="374"/>
  </r>
  <r>
    <d v="2021-11-01T00:00:00"/>
    <x v="10"/>
    <x v="26"/>
    <n v="4689.3135000000002"/>
    <n v="15.761799999999999"/>
    <n v="0"/>
    <n v="4649.5021999999999"/>
    <n v="24.049399999999999"/>
    <n v="11713.65"/>
    <n v="15.679"/>
    <n v="0"/>
    <n v="11622.572"/>
    <n v="75.399000000000001"/>
    <n v="400"/>
    <n v="1005"/>
    <n v="0"/>
    <n v="400"/>
    <n v="319"/>
  </r>
  <r>
    <d v="2021-12-01T00:00:00"/>
    <x v="11"/>
    <x v="26"/>
    <n v="4767.7923000000001"/>
    <n v="19.191099999999999"/>
    <n v="0"/>
    <n v="4676.5060000000003"/>
    <n v="72.095299999999995"/>
    <n v="12615.266"/>
    <n v="19.183"/>
    <n v="0"/>
    <n v="12426.77"/>
    <n v="169.31299999999999"/>
    <n v="378"/>
    <n v="1000"/>
    <n v="0"/>
    <n v="376"/>
    <n v="426"/>
  </r>
  <r>
    <d v="2022-01-01T00:00:00"/>
    <x v="0"/>
    <x v="27"/>
    <n v="3935.0868"/>
    <n v="16.919"/>
    <n v="0"/>
    <n v="3891.5868"/>
    <n v="26.5809"/>
    <n v="10650.633"/>
    <n v="17.327999999999999"/>
    <n v="0"/>
    <n v="10563.290999999999"/>
    <n v="70.013999999999996"/>
    <n v="369"/>
    <n v="976"/>
    <n v="0"/>
    <n v="368"/>
    <n v="380"/>
  </r>
  <r>
    <d v="2022-02-01T00:00:00"/>
    <x v="1"/>
    <x v="27"/>
    <n v="3928.4852000000001"/>
    <n v="13.0785"/>
    <n v="0"/>
    <n v="3889.5219000000002"/>
    <n v="25.884799999999998"/>
    <n v="10521.378000000001"/>
    <n v="13.555999999999999"/>
    <n v="0"/>
    <n v="10437.207"/>
    <n v="70.614999999999995"/>
    <n v="373"/>
    <n v="965"/>
    <n v="0"/>
    <n v="373"/>
    <n v="367"/>
  </r>
  <r>
    <d v="2022-03-01T00:00:00"/>
    <x v="2"/>
    <x v="27"/>
    <n v="4712.0937000000004"/>
    <n v="13.9186"/>
    <n v="0"/>
    <n v="4662.5487000000003"/>
    <n v="35.626399999999997"/>
    <n v="12000.825999999999"/>
    <n v="13.881"/>
    <n v="0"/>
    <n v="11896.223"/>
    <n v="90.721999999999994"/>
    <n v="393"/>
    <n v="1003"/>
    <n v="0"/>
    <n v="392"/>
    <n v="393"/>
  </r>
  <r>
    <d v="2022-04-01T00:00:00"/>
    <x v="3"/>
    <x v="27"/>
    <n v="4749.1098000000002"/>
    <n v="12.593999999999999"/>
    <n v="0"/>
    <n v="4708.3428000000004"/>
    <n v="28.172999999999998"/>
    <n v="12140.406000000001"/>
    <n v="15.231999999999999"/>
    <n v="0"/>
    <n v="12045.861000000001"/>
    <n v="79.313000000000002"/>
    <n v="391"/>
    <n v="827"/>
    <n v="0"/>
    <n v="391"/>
    <n v="355"/>
  </r>
  <r>
    <d v="2022-05-01T00:00:00"/>
    <x v="4"/>
    <x v="27"/>
    <n v="5173.7152999999998"/>
    <n v="13.246"/>
    <n v="0"/>
    <n v="5124.2024000000001"/>
    <n v="36.267000000000003"/>
    <n v="13656.275"/>
    <n v="13.329000000000001"/>
    <n v="0"/>
    <n v="13546.999"/>
    <n v="95.947000000000003"/>
    <n v="379"/>
    <n v="994"/>
    <n v="0"/>
    <n v="378"/>
    <n v="378"/>
  </r>
  <r>
    <d v="2022-06-01T00:00:00"/>
    <x v="5"/>
    <x v="27"/>
    <n v="5150.2223000000004"/>
    <n v="15.5997"/>
    <n v="0"/>
    <n v="5096.2987999999996"/>
    <n v="38.323799999999999"/>
    <n v="12736.611999999999"/>
    <n v="14.917"/>
    <n v="0"/>
    <n v="12616.351000000001"/>
    <n v="105.34399999999999"/>
    <n v="404"/>
    <n v="1046"/>
    <n v="0"/>
    <n v="404"/>
    <n v="364"/>
  </r>
  <r>
    <d v="2022-07-01T00:00:00"/>
    <x v="6"/>
    <x v="27"/>
    <n v="5342.8370000000004"/>
    <n v="15.686299999999999"/>
    <n v="0"/>
    <n v="5283.7527"/>
    <n v="43.398000000000003"/>
    <n v="13160.529"/>
    <n v="14.351000000000001"/>
    <n v="0"/>
    <n v="13036.701999999999"/>
    <n v="109.476"/>
    <n v="406"/>
    <n v="1093"/>
    <n v="0"/>
    <n v="405"/>
    <n v="396"/>
  </r>
  <r>
    <d v="2022-08-01T00:00:00"/>
    <x v="7"/>
    <x v="27"/>
    <n v="5160.1441000000004"/>
    <n v="14.305400000000001"/>
    <n v="0"/>
    <n v="5106.3851999999997"/>
    <n v="39.453499999999998"/>
    <n v="13224.526"/>
    <n v="13.731999999999999"/>
    <n v="0"/>
    <n v="13122.587"/>
    <n v="88.206999999999994"/>
    <n v="390"/>
    <n v="1042"/>
    <n v="0"/>
    <n v="389"/>
    <n v="447"/>
  </r>
  <r>
    <d v="2022-09-01T00:00:00"/>
    <x v="8"/>
    <x v="27"/>
    <n v="5078.5861999999997"/>
    <n v="12.688700000000001"/>
    <n v="0"/>
    <n v="5031.8651"/>
    <n v="34.032499999999999"/>
    <n v="12875.549000000001"/>
    <n v="12.414999999999999"/>
    <n v="0"/>
    <n v="12770.15"/>
    <n v="92.983999999999995"/>
    <n v="394"/>
    <n v="1022"/>
    <n v="0"/>
    <n v="394"/>
    <n v="366"/>
  </r>
  <r>
    <d v="2022-10-01T00:00:00"/>
    <x v="9"/>
    <x v="27"/>
    <n v="5404.6701999999996"/>
    <n v="12.175800000000001"/>
    <n v="0"/>
    <n v="5351.2385999999997"/>
    <n v="41.255800000000001"/>
    <n v="14032.535"/>
    <n v="11.852"/>
    <n v="0"/>
    <n v="13920.468000000001"/>
    <n v="100.215"/>
    <n v="385"/>
    <n v="1027"/>
    <n v="0"/>
    <n v="384"/>
    <n v="412"/>
  </r>
  <r>
    <d v="2022-11-01T00:00:00"/>
    <x v="10"/>
    <x v="27"/>
    <n v="4853.7460000000001"/>
    <n v="19.180299999999999"/>
    <n v="0"/>
    <n v="4789.6432999999997"/>
    <n v="44.922400000000003"/>
    <n v="12334.505999999999"/>
    <n v="19.178999999999998"/>
    <n v="0"/>
    <n v="12198.656000000001"/>
    <n v="116.67100000000001"/>
    <n v="394"/>
    <n v="1000"/>
    <n v="0"/>
    <n v="393"/>
    <n v="385"/>
  </r>
  <r>
    <d v="2022-12-01T00:00:00"/>
    <x v="11"/>
    <x v="27"/>
    <n v="5379.1315999999997"/>
    <n v="15.9841"/>
    <n v="0"/>
    <n v="5289.6099000000004"/>
    <n v="73.537700000000001"/>
    <n v="13786.483"/>
    <n v="15.231999999999999"/>
    <n v="0"/>
    <n v="13604.078"/>
    <n v="167.173"/>
    <n v="390"/>
    <n v="1049"/>
    <n v="0"/>
    <n v="389"/>
    <n v="440"/>
  </r>
  <r>
    <d v="2023-01-01T00:00:00"/>
    <x v="0"/>
    <x v="28"/>
    <n v="4435.4259000000002"/>
    <n v="14.511200000000001"/>
    <n v="0"/>
    <n v="4372.4336999999996"/>
    <n v="48.481099999999998"/>
    <n v="11845.643"/>
    <n v="14.923999999999999"/>
    <n v="0"/>
    <n v="11728.108"/>
    <n v="102.611"/>
    <n v="374"/>
    <n v="972"/>
    <n v="0"/>
    <n v="373"/>
    <n v="472"/>
  </r>
  <r>
    <d v="2023-02-01T00:00:00"/>
    <x v="1"/>
    <x v="28"/>
    <n v="4347.2493999999997"/>
    <n v="11.3116"/>
    <n v="0"/>
    <n v="4292.9278000000004"/>
    <n v="43.01"/>
    <n v="11598.921"/>
    <n v="11.853"/>
    <n v="0"/>
    <n v="11494.383"/>
    <n v="92.685000000000002"/>
    <n v="375"/>
    <n v="954"/>
    <n v="0"/>
    <n v="373"/>
    <n v="464"/>
  </r>
  <r>
    <d v="2023-03-01T00:00:00"/>
    <x v="2"/>
    <x v="28"/>
    <n v="5189.7691999999997"/>
    <n v="12.120799999999999"/>
    <n v="0"/>
    <n v="5138.3666999999996"/>
    <n v="39.281700000000001"/>
    <n v="13165.16"/>
    <n v="11.884"/>
    <n v="0"/>
    <n v="13061.924999999999"/>
    <n v="91.350999999999999"/>
    <n v="394"/>
    <n v="1020"/>
    <n v="0"/>
    <n v="393"/>
    <n v="430"/>
  </r>
  <r>
    <d v="2023-04-01T00:00:00"/>
    <x v="3"/>
    <x v="28"/>
    <n v="5006.6692999999996"/>
    <n v="10.5639"/>
    <n v="0"/>
    <n v="4957.1737000000003"/>
    <n v="38.931699999999999"/>
    <n v="13097.121999999999"/>
    <n v="10.746"/>
    <n v="0"/>
    <n v="12997.588"/>
    <n v="88.787999999999997"/>
    <n v="382"/>
    <n v="983"/>
    <n v="0"/>
    <n v="381"/>
    <n v="438"/>
  </r>
  <r>
    <d v="2023-05-01T00:00:00"/>
    <x v="4"/>
    <x v="28"/>
    <n v="5675.5604000000003"/>
    <n v="11.931900000000001"/>
    <n v="0"/>
    <n v="5617.098"/>
    <n v="46.5306"/>
    <n v="14555.602999999999"/>
    <n v="11.946"/>
    <n v="0"/>
    <n v="14445.450999999999"/>
    <n v="98.206000000000003"/>
    <n v="390"/>
    <n v="999"/>
    <n v="0"/>
    <n v="389"/>
    <n v="474"/>
  </r>
  <r>
    <d v="2023-06-01T00:00:00"/>
    <x v="5"/>
    <x v="28"/>
    <n v="5584.4429"/>
    <n v="11.517899999999999"/>
    <n v="0"/>
    <n v="5526.8797000000004"/>
    <n v="46.045299999999997"/>
    <n v="13723.959000000001"/>
    <n v="11.499000000000001"/>
    <n v="0"/>
    <n v="13605.444"/>
    <n v="107.01600000000001"/>
    <n v="407"/>
    <n v="1002"/>
    <n v="0"/>
    <n v="406"/>
    <n v="430"/>
  </r>
  <r>
    <d v="2023-07-01T00:00:00"/>
    <x v="6"/>
    <x v="28"/>
    <n v="5668.0546000000004"/>
    <n v="12.1911"/>
    <n v="0"/>
    <n v="5600.7475999999997"/>
    <n v="55.115900000000003"/>
    <n v="13847.678"/>
    <n v="11.284000000000001"/>
    <n v="0"/>
    <n v="13721.849"/>
    <n v="114.545"/>
    <n v="409"/>
    <n v="1080"/>
    <n v="0"/>
    <n v="408"/>
    <n v="481"/>
  </r>
  <r>
    <d v="2023-08-01T00:00:00"/>
    <x v="7"/>
    <x v="28"/>
    <n v="5568.2127"/>
    <n v="11.501300000000001"/>
    <n v="0"/>
    <n v="5521.1063999999997"/>
    <n v="35.604999999999997"/>
    <n v="13818.625"/>
    <n v="11.419"/>
    <n v="0"/>
    <n v="13722.111999999999"/>
    <n v="85.093999999999994"/>
    <n v="403"/>
    <n v="1007"/>
    <n v="0"/>
    <n v="402"/>
    <n v="418"/>
  </r>
  <r>
    <d v="2023-09-01T00:00:00"/>
    <x v="8"/>
    <x v="28"/>
    <n v="5616.6566000000003"/>
    <n v="10.3324"/>
    <n v="0"/>
    <n v="5578.0856999999996"/>
    <n v="28.238499999999998"/>
    <n v="13918.85"/>
    <n v="10.548"/>
    <n v="0"/>
    <n v="13837.38"/>
    <n v="70.921999999999997"/>
    <n v="404"/>
    <n v="980"/>
    <n v="0"/>
    <n v="403"/>
    <n v="398"/>
  </r>
  <r>
    <d v="2023-10-01T00:00:00"/>
    <x v="9"/>
    <x v="28"/>
    <n v="5817.8271999999997"/>
    <n v="10.672000000000001"/>
    <n v="0"/>
    <n v="5771.3959999999997"/>
    <n v="35.759099999999997"/>
    <n v="14653.947"/>
    <n v="10.381"/>
    <n v="0"/>
    <n v="14559.932000000001"/>
    <n v="83.634"/>
    <n v="397"/>
    <n v="1028"/>
    <n v="0"/>
    <n v="396"/>
    <n v="428"/>
  </r>
  <r>
    <d v="2023-11-01T00:00:00"/>
    <x v="10"/>
    <x v="28"/>
    <n v="4913.0348000000004"/>
    <n v="9.2893000000000008"/>
    <n v="0"/>
    <n v="4861.7311"/>
    <n v="42.014499999999998"/>
    <n v="12715.549000000001"/>
    <n v="9.4589999999999996"/>
    <n v="0"/>
    <n v="12613.08"/>
    <n v="93.01"/>
    <n v="386"/>
    <n v="982"/>
    <n v="0"/>
    <n v="385"/>
    <n v="452"/>
  </r>
  <r>
    <d v="2023-12-01T00:00:00"/>
    <x v="11"/>
    <x v="28"/>
    <n v="5496.8708999999999"/>
    <n v="12.013400000000001"/>
    <n v="0"/>
    <n v="5410.6382999999996"/>
    <n v="74.219200000000001"/>
    <n v="14089.571"/>
    <n v="12.413"/>
    <n v="0"/>
    <n v="13932.016"/>
    <n v="145.142"/>
    <n v="390"/>
    <n v="968"/>
    <n v="0"/>
    <n v="388"/>
    <n v="511"/>
  </r>
  <r>
    <d v="2024-01-01T00:00:00"/>
    <x v="0"/>
    <x v="29"/>
    <n v="4573.2226000000001"/>
    <n v="13.1013"/>
    <n v="0"/>
    <n v="4511.3469999999998"/>
    <n v="48.774299999999997"/>
    <n v="11754.144"/>
    <n v="13.289"/>
    <n v="0"/>
    <n v="11645.195"/>
    <n v="95.66"/>
    <n v="389"/>
    <n v="986"/>
    <n v="0"/>
    <n v="387"/>
    <n v="510"/>
  </r>
  <r>
    <d v="2024-02-01T00:00:00"/>
    <x v="1"/>
    <x v="29"/>
    <n v="4494.8383999999996"/>
    <n v="9.4620999999999995"/>
    <n v="0"/>
    <n v="4453.9754999999996"/>
    <n v="31.4008"/>
    <n v="11733.028"/>
    <n v="9.5939999999999994"/>
    <n v="0"/>
    <n v="11644.358"/>
    <n v="79.075999999999993"/>
    <n v="383"/>
    <n v="986"/>
    <n v="0"/>
    <n v="383"/>
    <n v="397"/>
  </r>
  <r>
    <d v="2024-03-01T00:00:00"/>
    <x v="2"/>
    <x v="29"/>
    <n v="5014.5816000000004"/>
    <n v="8.2152999999999992"/>
    <n v="0"/>
    <n v="4969.1741000000002"/>
    <n v="37.1922"/>
    <n v="13128.870999999999"/>
    <n v="8.25"/>
    <n v="0"/>
    <n v="13028.388000000001"/>
    <n v="92.233000000000004"/>
    <n v="382"/>
    <n v="996"/>
    <n v="0"/>
    <n v="381"/>
    <n v="403"/>
  </r>
  <r>
    <d v="2024-04-01T00:00:00"/>
    <x v="3"/>
    <x v="29"/>
    <n v="5422.2695000000003"/>
    <n v="10.199400000000001"/>
    <n v="0"/>
    <n v="5371.1917999999996"/>
    <n v="40.878300000000003"/>
    <n v="13469.939"/>
    <n v="10.382999999999999"/>
    <n v="0"/>
    <n v="13366.329"/>
    <n v="93.227000000000004"/>
    <n v="403"/>
    <n v="982"/>
    <n v="0"/>
    <n v="402"/>
    <n v="438"/>
  </r>
  <r>
    <d v="2024-05-01T00:00:00"/>
    <x v="4"/>
    <x v="29"/>
    <n v="5624.4740000000002"/>
    <n v="9.3605"/>
    <n v="0"/>
    <n v="5567.6522000000004"/>
    <n v="47.461199999999998"/>
    <n v="14765.449000000001"/>
    <n v="9.4410000000000007"/>
    <n v="0"/>
    <n v="14655.838"/>
    <n v="100.17"/>
    <n v="381"/>
    <n v="991"/>
    <n v="0"/>
    <n v="380"/>
    <n v="47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1F8D6D-3EC2-4056-8A67-C39DEDEFA1AF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N12" firstHeaderRow="1" firstDataRow="2" firstDataCol="1"/>
  <pivotFields count="18">
    <pivotField numFmtId="14" showAll="0"/>
    <pivotField axis="axisCol" numFmtId="1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Row" numFmtId="1" showAll="0">
      <items count="31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x="21"/>
        <item x="22"/>
        <item x="23"/>
        <item x="24"/>
        <item x="25"/>
        <item x="26"/>
        <item x="27"/>
        <item h="1" x="28"/>
        <item h="1" x="29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8">
    <i>
      <x v="21"/>
    </i>
    <i>
      <x v="22"/>
    </i>
    <i>
      <x v="23"/>
    </i>
    <i>
      <x v="24"/>
    </i>
    <i>
      <x v="25"/>
    </i>
    <i>
      <x v="26"/>
    </i>
    <i>
      <x v="27"/>
    </i>
    <i t="grand">
      <x/>
    </i>
  </rowItems>
  <colFields count="1">
    <field x="1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dataFields count="1">
    <dataField name="Sum of total_mln" fld="3" baseField="0" baseItem="0"/>
  </dataFields>
  <conditionalFormats count="1">
    <conditionalFormat priority="1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1" count="12" selected="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</reference>
            <reference field="2" count="7">
              <x v="21"/>
              <x v="22"/>
              <x v="23"/>
              <x v="24"/>
              <x v="25"/>
              <x v="26"/>
              <x v="27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1828C-47B2-445A-889F-F7C8388ACF4E}">
  <dimension ref="A3:N12"/>
  <sheetViews>
    <sheetView tabSelected="1" workbookViewId="0">
      <selection activeCell="B11" sqref="B11"/>
    </sheetView>
  </sheetViews>
  <sheetFormatPr defaultRowHeight="14.5" x14ac:dyDescent="0.35"/>
  <cols>
    <col min="1" max="1" width="15.36328125" bestFit="1" customWidth="1"/>
    <col min="2" max="2" width="15.26953125" bestFit="1" customWidth="1"/>
    <col min="3" max="3" width="10.81640625" bestFit="1" customWidth="1"/>
    <col min="4" max="4" width="9.81640625" bestFit="1" customWidth="1"/>
    <col min="5" max="11" width="10.81640625" bestFit="1" customWidth="1"/>
    <col min="12" max="12" width="9.81640625" bestFit="1" customWidth="1"/>
    <col min="13" max="13" width="10.81640625" bestFit="1" customWidth="1"/>
    <col min="14" max="14" width="11.81640625" bestFit="1" customWidth="1"/>
    <col min="15" max="15" width="15.36328125" bestFit="1" customWidth="1"/>
    <col min="16" max="16" width="21.453125" bestFit="1" customWidth="1"/>
    <col min="17" max="17" width="15.36328125" bestFit="1" customWidth="1"/>
    <col min="18" max="18" width="21.453125" bestFit="1" customWidth="1"/>
    <col min="19" max="19" width="15.36328125" bestFit="1" customWidth="1"/>
    <col min="20" max="20" width="21.453125" bestFit="1" customWidth="1"/>
    <col min="21" max="21" width="15.36328125" bestFit="1" customWidth="1"/>
    <col min="22" max="22" width="21.453125" bestFit="1" customWidth="1"/>
    <col min="23" max="23" width="15.36328125" bestFit="1" customWidth="1"/>
    <col min="24" max="24" width="21.453125" bestFit="1" customWidth="1"/>
    <col min="25" max="25" width="15.36328125" bestFit="1" customWidth="1"/>
    <col min="26" max="26" width="26.26953125" bestFit="1" customWidth="1"/>
    <col min="27" max="27" width="20.1796875" bestFit="1" customWidth="1"/>
  </cols>
  <sheetData>
    <row r="3" spans="1:14" x14ac:dyDescent="0.35">
      <c r="A3" s="5" t="s">
        <v>21</v>
      </c>
      <c r="B3" s="5" t="s">
        <v>20</v>
      </c>
    </row>
    <row r="4" spans="1:14" x14ac:dyDescent="0.35">
      <c r="A4" s="5" t="s">
        <v>18</v>
      </c>
      <c r="B4" s="4">
        <v>1</v>
      </c>
      <c r="C4" s="4">
        <v>2</v>
      </c>
      <c r="D4" s="4">
        <v>3</v>
      </c>
      <c r="E4" s="4">
        <v>4</v>
      </c>
      <c r="F4" s="4">
        <v>5</v>
      </c>
      <c r="G4" s="4">
        <v>6</v>
      </c>
      <c r="H4" s="4">
        <v>7</v>
      </c>
      <c r="I4" s="4">
        <v>8</v>
      </c>
      <c r="J4" s="4">
        <v>9</v>
      </c>
      <c r="K4" s="4">
        <v>10</v>
      </c>
      <c r="L4" s="4">
        <v>11</v>
      </c>
      <c r="M4" s="4">
        <v>12</v>
      </c>
      <c r="N4" s="4" t="s">
        <v>19</v>
      </c>
    </row>
    <row r="5" spans="1:14" x14ac:dyDescent="0.35">
      <c r="A5" s="6">
        <v>2016</v>
      </c>
      <c r="B5" s="7">
        <v>1976.3992000000001</v>
      </c>
      <c r="C5" s="7">
        <v>2123.221</v>
      </c>
      <c r="D5" s="7">
        <v>2235.7849000000001</v>
      </c>
      <c r="E5" s="7">
        <v>2213.3933999999999</v>
      </c>
      <c r="F5" s="7">
        <v>2532.8537999999999</v>
      </c>
      <c r="G5" s="7">
        <v>2366.6498000000001</v>
      </c>
      <c r="H5" s="7">
        <v>2306.0699</v>
      </c>
      <c r="I5" s="7">
        <v>2318.9360999999999</v>
      </c>
      <c r="J5" s="7">
        <v>2441.4270000000001</v>
      </c>
      <c r="K5" s="7">
        <v>2273.9135999999999</v>
      </c>
      <c r="L5" s="7">
        <v>2444.7874000000002</v>
      </c>
      <c r="M5" s="7">
        <v>2397.7076999999999</v>
      </c>
      <c r="N5" s="7">
        <v>27631.143800000002</v>
      </c>
    </row>
    <row r="6" spans="1:14" x14ac:dyDescent="0.35">
      <c r="A6" s="6">
        <v>2017</v>
      </c>
      <c r="B6" s="7">
        <v>2196.0864999999999</v>
      </c>
      <c r="C6" s="7">
        <v>2191.0385999999999</v>
      </c>
      <c r="D6" s="7">
        <v>2678.2118</v>
      </c>
      <c r="E6" s="7">
        <v>2449.3006</v>
      </c>
      <c r="F6" s="7">
        <v>2754.1658000000002</v>
      </c>
      <c r="G6" s="7">
        <v>2609.6109999999999</v>
      </c>
      <c r="H6" s="7">
        <v>2663.0470999999998</v>
      </c>
      <c r="I6" s="7">
        <v>2678.7156</v>
      </c>
      <c r="J6" s="7">
        <v>2550.7464</v>
      </c>
      <c r="K6" s="7">
        <v>2873.1653999999999</v>
      </c>
      <c r="L6" s="7">
        <v>2473.8380999999999</v>
      </c>
      <c r="M6" s="7">
        <v>2824.9872999999998</v>
      </c>
      <c r="N6" s="7">
        <v>30942.914199999999</v>
      </c>
    </row>
    <row r="7" spans="1:14" x14ac:dyDescent="0.35">
      <c r="A7" s="6">
        <v>2018</v>
      </c>
      <c r="B7" s="7">
        <v>2308.8292000000001</v>
      </c>
      <c r="C7" s="7">
        <v>2292.3587000000002</v>
      </c>
      <c r="D7" s="7">
        <v>2730.9501</v>
      </c>
      <c r="E7" s="7">
        <v>2816.4144999999999</v>
      </c>
      <c r="F7" s="7">
        <v>3232.3766000000001</v>
      </c>
      <c r="G7" s="7">
        <v>3224.4911000000002</v>
      </c>
      <c r="H7" s="7">
        <v>2930.1358</v>
      </c>
      <c r="I7" s="7">
        <v>2961.1493999999998</v>
      </c>
      <c r="J7" s="7">
        <v>2796.1365999999998</v>
      </c>
      <c r="K7" s="7">
        <v>3115.6071999999999</v>
      </c>
      <c r="L7" s="7">
        <v>3005.4157</v>
      </c>
      <c r="M7" s="7">
        <v>3021.2516000000001</v>
      </c>
      <c r="N7" s="7">
        <v>34435.116499999996</v>
      </c>
    </row>
    <row r="8" spans="1:14" x14ac:dyDescent="0.35">
      <c r="A8" s="6">
        <v>2019</v>
      </c>
      <c r="B8" s="7">
        <v>2527.5581000000002</v>
      </c>
      <c r="C8" s="7">
        <v>2506.4369000000002</v>
      </c>
      <c r="D8" s="7">
        <v>3038.1021999999998</v>
      </c>
      <c r="E8" s="7">
        <v>3014.8780999999999</v>
      </c>
      <c r="F8" s="7">
        <v>3387.2534000000001</v>
      </c>
      <c r="G8" s="7">
        <v>3293.2442000000001</v>
      </c>
      <c r="H8" s="7">
        <v>3371.3038999999999</v>
      </c>
      <c r="I8" s="7">
        <v>3487.4940000000001</v>
      </c>
      <c r="J8" s="7">
        <v>3181.9306999999999</v>
      </c>
      <c r="K8" s="7">
        <v>3238.0284000000001</v>
      </c>
      <c r="L8" s="7">
        <v>3006.5140000000001</v>
      </c>
      <c r="M8" s="7">
        <v>3197.7419</v>
      </c>
      <c r="N8" s="7">
        <v>37250.485800000002</v>
      </c>
    </row>
    <row r="9" spans="1:14" x14ac:dyDescent="0.35">
      <c r="A9" s="6">
        <v>2020</v>
      </c>
      <c r="B9" s="7">
        <v>2676.6262999999999</v>
      </c>
      <c r="C9" s="7">
        <v>2803.4987999999998</v>
      </c>
      <c r="D9" s="7">
        <v>4147.1145999999999</v>
      </c>
      <c r="E9" s="7">
        <v>2982.6531</v>
      </c>
      <c r="F9" s="7">
        <v>3541.8263000000002</v>
      </c>
      <c r="G9" s="7">
        <v>3630.6224999999999</v>
      </c>
      <c r="H9" s="7">
        <v>3629.1536999999998</v>
      </c>
      <c r="I9" s="7">
        <v>3654.1707000000001</v>
      </c>
      <c r="J9" s="7">
        <v>3673.8418999999999</v>
      </c>
      <c r="K9" s="7">
        <v>3715.2525000000001</v>
      </c>
      <c r="L9" s="7">
        <v>3491.9472999999998</v>
      </c>
      <c r="M9" s="7">
        <v>3757.2255</v>
      </c>
      <c r="N9" s="7">
        <v>41703.933199999999</v>
      </c>
    </row>
    <row r="10" spans="1:14" x14ac:dyDescent="0.35">
      <c r="A10" s="6">
        <v>2021</v>
      </c>
      <c r="B10" s="7">
        <v>3392.8085000000001</v>
      </c>
      <c r="C10" s="7">
        <v>3264.1015000000002</v>
      </c>
      <c r="D10" s="7">
        <v>4275.0937000000004</v>
      </c>
      <c r="E10" s="7">
        <v>4167.7596000000003</v>
      </c>
      <c r="F10" s="7">
        <v>4677.3251</v>
      </c>
      <c r="G10" s="7">
        <v>4605.3267999999998</v>
      </c>
      <c r="H10" s="7">
        <v>4616.2582000000002</v>
      </c>
      <c r="I10" s="7">
        <v>4776.7196000000004</v>
      </c>
      <c r="J10" s="7">
        <v>4436.0128000000004</v>
      </c>
      <c r="K10" s="7">
        <v>4854.0865999999996</v>
      </c>
      <c r="L10" s="7">
        <v>4689.3135000000002</v>
      </c>
      <c r="M10" s="7">
        <v>4767.7923000000001</v>
      </c>
      <c r="N10" s="7">
        <v>52522.598199999993</v>
      </c>
    </row>
    <row r="11" spans="1:14" x14ac:dyDescent="0.35">
      <c r="A11" s="6">
        <v>2022</v>
      </c>
      <c r="B11" s="7">
        <v>3935.0868</v>
      </c>
      <c r="C11" s="7">
        <v>3928.4852000000001</v>
      </c>
      <c r="D11" s="7">
        <v>4712.0937000000004</v>
      </c>
      <c r="E11" s="7">
        <v>4749.1098000000002</v>
      </c>
      <c r="F11" s="7">
        <v>5173.7152999999998</v>
      </c>
      <c r="G11" s="7">
        <v>5150.2223000000004</v>
      </c>
      <c r="H11" s="7">
        <v>5342.8370000000004</v>
      </c>
      <c r="I11" s="7">
        <v>5160.1441000000004</v>
      </c>
      <c r="J11" s="7">
        <v>5078.5861999999997</v>
      </c>
      <c r="K11" s="7">
        <v>5404.6701999999996</v>
      </c>
      <c r="L11" s="7">
        <v>4853.7460000000001</v>
      </c>
      <c r="M11" s="7">
        <v>5379.1315999999997</v>
      </c>
      <c r="N11" s="7">
        <v>58867.828200000004</v>
      </c>
    </row>
    <row r="12" spans="1:14" x14ac:dyDescent="0.35">
      <c r="A12" s="6" t="s">
        <v>19</v>
      </c>
      <c r="B12" s="7">
        <v>19013.3946</v>
      </c>
      <c r="C12" s="7">
        <v>19109.1407</v>
      </c>
      <c r="D12" s="7">
        <v>23817.351000000002</v>
      </c>
      <c r="E12" s="7">
        <v>22393.509100000003</v>
      </c>
      <c r="F12" s="7">
        <v>25299.516299999999</v>
      </c>
      <c r="G12" s="7">
        <v>24880.167700000002</v>
      </c>
      <c r="H12" s="7">
        <v>24858.8056</v>
      </c>
      <c r="I12" s="7">
        <v>25037.329500000003</v>
      </c>
      <c r="J12" s="7">
        <v>24158.681599999996</v>
      </c>
      <c r="K12" s="7">
        <v>25474.723900000001</v>
      </c>
      <c r="L12" s="7">
        <v>23965.561999999998</v>
      </c>
      <c r="M12" s="7">
        <v>25345.837900000002</v>
      </c>
      <c r="N12" s="7">
        <v>283354.01989999996</v>
      </c>
    </row>
  </sheetData>
  <conditionalFormatting pivot="1" sqref="B5:M11">
    <cfRule type="colorScale" priority="1">
      <colorScale>
        <cfvo type="min"/>
        <cfvo type="max"/>
        <color rgb="FFFCFCFF"/>
        <color rgb="FFF8696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54"/>
  <sheetViews>
    <sheetView topLeftCell="M1" zoomScale="135" workbookViewId="0">
      <pane ySplit="1" topLeftCell="A339" activePane="bottomLeft" state="frozen"/>
      <selection pane="bottomLeft"/>
    </sheetView>
  </sheetViews>
  <sheetFormatPr defaultRowHeight="14.5" x14ac:dyDescent="0.35"/>
  <cols>
    <col min="1" max="1" width="17.81640625" style="3" bestFit="1" customWidth="1"/>
    <col min="2" max="3" width="17.81640625" style="3" customWidth="1"/>
    <col min="4" max="4" width="9.81640625" bestFit="1" customWidth="1"/>
    <col min="5" max="5" width="17.36328125" bestFit="1" customWidth="1"/>
    <col min="6" max="6" width="10.54296875" bestFit="1" customWidth="1"/>
    <col min="7" max="7" width="22" bestFit="1" customWidth="1"/>
    <col min="8" max="8" width="14.81640625" bestFit="1" customWidth="1"/>
    <col min="9" max="9" width="15" bestFit="1" customWidth="1"/>
    <col min="10" max="10" width="23.36328125" bestFit="1" customWidth="1"/>
    <col min="11" max="11" width="16.54296875" bestFit="1" customWidth="1"/>
    <col min="12" max="12" width="28" bestFit="1" customWidth="1"/>
    <col min="13" max="13" width="20.81640625" bestFit="1" customWidth="1"/>
    <col min="14" max="14" width="13.81640625" bestFit="1" customWidth="1"/>
    <col min="15" max="15" width="22.1796875" bestFit="1" customWidth="1"/>
    <col min="16" max="16" width="15.36328125" bestFit="1" customWidth="1"/>
    <col min="17" max="17" width="26.81640625" bestFit="1" customWidth="1"/>
    <col min="18" max="18" width="19.6328125" bestFit="1" customWidth="1"/>
  </cols>
  <sheetData>
    <row r="1" spans="1:18" x14ac:dyDescent="0.35">
      <c r="A1" s="2" t="s">
        <v>0</v>
      </c>
      <c r="B1" s="2" t="s">
        <v>16</v>
      </c>
      <c r="C1" s="2" t="s">
        <v>17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</row>
    <row r="2" spans="1:18" x14ac:dyDescent="0.35">
      <c r="A2" s="3">
        <v>34700</v>
      </c>
      <c r="B2" s="4">
        <f>MONTH(A2)</f>
        <v>1</v>
      </c>
      <c r="C2" s="4">
        <f>YEAR(A2)</f>
        <v>1995</v>
      </c>
      <c r="D2">
        <v>254.57239999999999</v>
      </c>
      <c r="E2">
        <v>98.142700000000005</v>
      </c>
      <c r="F2">
        <v>2.0648</v>
      </c>
      <c r="G2">
        <v>132.81020000000001</v>
      </c>
      <c r="H2">
        <v>21.5547</v>
      </c>
      <c r="I2">
        <v>767.89300000000003</v>
      </c>
      <c r="J2">
        <v>344.92700000000002</v>
      </c>
      <c r="K2">
        <v>5.4349999999999996</v>
      </c>
      <c r="L2">
        <v>380.43299999999999</v>
      </c>
      <c r="M2">
        <v>37.097999999999999</v>
      </c>
      <c r="N2">
        <v>332</v>
      </c>
      <c r="O2">
        <v>285</v>
      </c>
      <c r="P2">
        <v>380</v>
      </c>
      <c r="Q2">
        <v>349</v>
      </c>
      <c r="R2">
        <v>581</v>
      </c>
    </row>
    <row r="3" spans="1:18" x14ac:dyDescent="0.35">
      <c r="A3" s="3">
        <v>34731</v>
      </c>
      <c r="B3" s="4">
        <f t="shared" ref="B3:B66" si="0">MONTH(A3)</f>
        <v>2</v>
      </c>
      <c r="C3" s="4">
        <f t="shared" ref="C3:C66" si="1">YEAR(A3)</f>
        <v>1995</v>
      </c>
      <c r="D3">
        <v>248.06049999999999</v>
      </c>
      <c r="E3">
        <v>90.799099999999996</v>
      </c>
      <c r="F3">
        <v>1.4335</v>
      </c>
      <c r="G3">
        <v>131.30080000000001</v>
      </c>
      <c r="H3">
        <v>24.527200000000001</v>
      </c>
      <c r="I3">
        <v>755.26700000000005</v>
      </c>
      <c r="J3">
        <v>307.81299999999999</v>
      </c>
      <c r="K3">
        <v>4.6689999999999996</v>
      </c>
      <c r="L3">
        <v>395.02</v>
      </c>
      <c r="M3">
        <v>47.765000000000001</v>
      </c>
      <c r="N3">
        <v>328</v>
      </c>
      <c r="O3">
        <v>295</v>
      </c>
      <c r="P3">
        <v>307</v>
      </c>
      <c r="Q3">
        <v>332</v>
      </c>
      <c r="R3">
        <v>513</v>
      </c>
    </row>
    <row r="4" spans="1:18" x14ac:dyDescent="0.35">
      <c r="A4" s="3">
        <v>34759</v>
      </c>
      <c r="B4" s="4">
        <f t="shared" si="0"/>
        <v>3</v>
      </c>
      <c r="C4" s="4">
        <f t="shared" si="1"/>
        <v>1995</v>
      </c>
      <c r="D4">
        <v>287.36450000000002</v>
      </c>
      <c r="E4">
        <v>104.209</v>
      </c>
      <c r="F4">
        <v>2.0369000000000002</v>
      </c>
      <c r="G4">
        <v>157.2022</v>
      </c>
      <c r="H4">
        <v>23.9163</v>
      </c>
      <c r="I4">
        <v>894.60199999999998</v>
      </c>
      <c r="J4">
        <v>345.05099999999999</v>
      </c>
      <c r="K4">
        <v>4.8170000000000002</v>
      </c>
      <c r="L4">
        <v>477.00299999999999</v>
      </c>
      <c r="M4">
        <v>67.731999999999999</v>
      </c>
      <c r="N4">
        <v>321</v>
      </c>
      <c r="O4">
        <v>302</v>
      </c>
      <c r="P4">
        <v>423</v>
      </c>
      <c r="Q4">
        <v>330</v>
      </c>
      <c r="R4">
        <v>353</v>
      </c>
    </row>
    <row r="5" spans="1:18" x14ac:dyDescent="0.35">
      <c r="A5" s="3">
        <v>34790</v>
      </c>
      <c r="B5" s="4">
        <f t="shared" si="0"/>
        <v>4</v>
      </c>
      <c r="C5" s="4">
        <f t="shared" si="1"/>
        <v>1995</v>
      </c>
      <c r="D5">
        <v>298.9135</v>
      </c>
      <c r="E5">
        <v>118.2196</v>
      </c>
      <c r="F5">
        <v>2.7919999999999998</v>
      </c>
      <c r="G5">
        <v>155.25380000000001</v>
      </c>
      <c r="H5">
        <v>22.648</v>
      </c>
      <c r="I5">
        <v>919.76700000000005</v>
      </c>
      <c r="J5">
        <v>388.08600000000001</v>
      </c>
      <c r="K5">
        <v>6.2560000000000002</v>
      </c>
      <c r="L5">
        <v>467.32100000000003</v>
      </c>
      <c r="M5">
        <v>58.103999999999999</v>
      </c>
      <c r="N5">
        <v>325</v>
      </c>
      <c r="O5">
        <v>305</v>
      </c>
      <c r="P5">
        <v>446</v>
      </c>
      <c r="Q5">
        <v>332</v>
      </c>
      <c r="R5">
        <v>390</v>
      </c>
    </row>
    <row r="6" spans="1:18" x14ac:dyDescent="0.35">
      <c r="A6" s="3">
        <v>34820</v>
      </c>
      <c r="B6" s="4">
        <f t="shared" si="0"/>
        <v>5</v>
      </c>
      <c r="C6" s="4">
        <f t="shared" si="1"/>
        <v>1995</v>
      </c>
      <c r="D6">
        <v>357.7396</v>
      </c>
      <c r="E6">
        <v>144.386</v>
      </c>
      <c r="F6">
        <v>2.726</v>
      </c>
      <c r="G6">
        <v>189.67429999999999</v>
      </c>
      <c r="H6">
        <v>20.953299999999999</v>
      </c>
      <c r="I6">
        <v>1132.711</v>
      </c>
      <c r="J6">
        <v>477.87099999999998</v>
      </c>
      <c r="K6">
        <v>5.4240000000000004</v>
      </c>
      <c r="L6">
        <v>604.64099999999996</v>
      </c>
      <c r="M6">
        <v>44.774999999999999</v>
      </c>
      <c r="N6">
        <v>316</v>
      </c>
      <c r="O6">
        <v>302</v>
      </c>
      <c r="P6">
        <v>503</v>
      </c>
      <c r="Q6">
        <v>314</v>
      </c>
      <c r="R6">
        <v>468</v>
      </c>
    </row>
    <row r="7" spans="1:18" x14ac:dyDescent="0.35">
      <c r="A7" s="3">
        <v>34851</v>
      </c>
      <c r="B7" s="4">
        <f t="shared" si="0"/>
        <v>6</v>
      </c>
      <c r="C7" s="4">
        <f t="shared" si="1"/>
        <v>1995</v>
      </c>
      <c r="D7">
        <v>352.36950000000002</v>
      </c>
      <c r="E7">
        <v>142.53360000000001</v>
      </c>
      <c r="F7">
        <v>2.7017000000000002</v>
      </c>
      <c r="G7">
        <v>175.57589999999999</v>
      </c>
      <c r="H7">
        <v>31.558299999999999</v>
      </c>
      <c r="I7">
        <v>1026.296</v>
      </c>
      <c r="J7">
        <v>398.01799999999997</v>
      </c>
      <c r="K7">
        <v>5.4240000000000004</v>
      </c>
      <c r="L7">
        <v>567.99199999999996</v>
      </c>
      <c r="M7">
        <v>54.862000000000002</v>
      </c>
      <c r="N7">
        <v>343</v>
      </c>
      <c r="O7">
        <v>358</v>
      </c>
      <c r="P7">
        <v>498</v>
      </c>
      <c r="Q7">
        <v>309</v>
      </c>
      <c r="R7">
        <v>575</v>
      </c>
    </row>
    <row r="8" spans="1:18" x14ac:dyDescent="0.35">
      <c r="A8" s="3">
        <v>34881</v>
      </c>
      <c r="B8" s="4">
        <f t="shared" si="0"/>
        <v>7</v>
      </c>
      <c r="C8" s="4">
        <f t="shared" si="1"/>
        <v>1995</v>
      </c>
      <c r="D8">
        <v>342.89929999999998</v>
      </c>
      <c r="E8">
        <v>132.06039999999999</v>
      </c>
      <c r="F8">
        <v>1.3004</v>
      </c>
      <c r="G8">
        <v>179.4495</v>
      </c>
      <c r="H8">
        <v>30.088999999999999</v>
      </c>
      <c r="I8">
        <v>986.84699999999998</v>
      </c>
      <c r="J8">
        <v>378.90699999999998</v>
      </c>
      <c r="K8">
        <v>3.6190000000000002</v>
      </c>
      <c r="L8">
        <v>546.20899999999995</v>
      </c>
      <c r="M8">
        <v>58.112000000000002</v>
      </c>
      <c r="N8">
        <v>347</v>
      </c>
      <c r="O8">
        <v>349</v>
      </c>
      <c r="P8">
        <v>359</v>
      </c>
      <c r="Q8">
        <v>329</v>
      </c>
      <c r="R8">
        <v>518</v>
      </c>
    </row>
    <row r="9" spans="1:18" x14ac:dyDescent="0.35">
      <c r="A9" s="3">
        <v>34912</v>
      </c>
      <c r="B9" s="4">
        <f t="shared" si="0"/>
        <v>8</v>
      </c>
      <c r="C9" s="4">
        <f t="shared" si="1"/>
        <v>1995</v>
      </c>
      <c r="D9">
        <v>362.27390000000003</v>
      </c>
      <c r="E9">
        <v>155.8545</v>
      </c>
      <c r="F9">
        <v>2.8595000000000002</v>
      </c>
      <c r="G9">
        <v>175.68950000000001</v>
      </c>
      <c r="H9">
        <v>27.8705</v>
      </c>
      <c r="I9">
        <v>1015.4160000000001</v>
      </c>
      <c r="J9">
        <v>413.017</v>
      </c>
      <c r="K9">
        <v>7.8789999999999996</v>
      </c>
      <c r="L9">
        <v>553.46699999999998</v>
      </c>
      <c r="M9">
        <v>41.052999999999997</v>
      </c>
      <c r="N9">
        <v>357</v>
      </c>
      <c r="O9">
        <v>377</v>
      </c>
      <c r="P9">
        <v>363</v>
      </c>
      <c r="Q9">
        <v>317</v>
      </c>
      <c r="R9">
        <v>679</v>
      </c>
    </row>
    <row r="10" spans="1:18" x14ac:dyDescent="0.35">
      <c r="A10" s="3">
        <v>34943</v>
      </c>
      <c r="B10" s="4">
        <f t="shared" si="0"/>
        <v>9</v>
      </c>
      <c r="C10" s="4">
        <f t="shared" si="1"/>
        <v>1995</v>
      </c>
      <c r="D10">
        <v>314.14920000000001</v>
      </c>
      <c r="E10">
        <v>134.91849999999999</v>
      </c>
      <c r="F10">
        <v>1.5737000000000001</v>
      </c>
      <c r="G10">
        <v>161.3099</v>
      </c>
      <c r="H10">
        <v>16.347100000000001</v>
      </c>
      <c r="I10">
        <v>940.423</v>
      </c>
      <c r="J10">
        <v>372.75700000000001</v>
      </c>
      <c r="K10">
        <v>3.8610000000000002</v>
      </c>
      <c r="L10">
        <v>532.94899999999996</v>
      </c>
      <c r="M10">
        <v>30.856000000000002</v>
      </c>
      <c r="N10">
        <v>334</v>
      </c>
      <c r="O10">
        <v>362</v>
      </c>
      <c r="P10">
        <v>408</v>
      </c>
      <c r="Q10">
        <v>303</v>
      </c>
      <c r="R10">
        <v>530</v>
      </c>
    </row>
    <row r="11" spans="1:18" x14ac:dyDescent="0.35">
      <c r="A11" s="3">
        <v>34973</v>
      </c>
      <c r="B11" s="4">
        <f t="shared" si="0"/>
        <v>10</v>
      </c>
      <c r="C11" s="4">
        <f t="shared" si="1"/>
        <v>1995</v>
      </c>
      <c r="D11">
        <v>324.50330000000002</v>
      </c>
      <c r="E11">
        <v>124.9983</v>
      </c>
      <c r="F11">
        <v>3.1779000000000002</v>
      </c>
      <c r="G11">
        <v>172.5369</v>
      </c>
      <c r="H11">
        <v>23.790199999999999</v>
      </c>
      <c r="I11">
        <v>1099.2049999999999</v>
      </c>
      <c r="J11">
        <v>378.45100000000002</v>
      </c>
      <c r="K11">
        <v>5.4539999999999997</v>
      </c>
      <c r="L11">
        <v>667.46799999999996</v>
      </c>
      <c r="M11">
        <v>47.832000000000001</v>
      </c>
      <c r="N11">
        <v>295</v>
      </c>
      <c r="O11">
        <v>330</v>
      </c>
      <c r="P11">
        <v>583</v>
      </c>
      <c r="Q11">
        <v>258</v>
      </c>
      <c r="R11">
        <v>497</v>
      </c>
    </row>
    <row r="12" spans="1:18" x14ac:dyDescent="0.35">
      <c r="A12" s="3">
        <v>35004</v>
      </c>
      <c r="B12" s="4">
        <f t="shared" si="0"/>
        <v>11</v>
      </c>
      <c r="C12" s="4">
        <f t="shared" si="1"/>
        <v>1995</v>
      </c>
      <c r="D12">
        <v>255.59219999999999</v>
      </c>
      <c r="E12">
        <v>98.334599999999995</v>
      </c>
      <c r="F12">
        <v>1.6128</v>
      </c>
      <c r="G12">
        <v>132.4554</v>
      </c>
      <c r="H12">
        <v>23.189399999999999</v>
      </c>
      <c r="I12">
        <v>814.05399999999997</v>
      </c>
      <c r="J12">
        <v>284.81099999999998</v>
      </c>
      <c r="K12">
        <v>3.149</v>
      </c>
      <c r="L12">
        <v>474.63200000000001</v>
      </c>
      <c r="M12">
        <v>51.462000000000003</v>
      </c>
      <c r="N12">
        <v>314</v>
      </c>
      <c r="O12">
        <v>345</v>
      </c>
      <c r="P12">
        <v>512</v>
      </c>
      <c r="Q12">
        <v>279</v>
      </c>
      <c r="R12">
        <v>451</v>
      </c>
    </row>
    <row r="13" spans="1:18" x14ac:dyDescent="0.35">
      <c r="A13" s="3">
        <v>35034</v>
      </c>
      <c r="B13" s="4">
        <f t="shared" si="0"/>
        <v>12</v>
      </c>
      <c r="C13" s="4">
        <f t="shared" si="1"/>
        <v>1995</v>
      </c>
      <c r="D13">
        <v>274.28829999999999</v>
      </c>
      <c r="E13">
        <v>111.8314</v>
      </c>
      <c r="F13">
        <v>1.9220999999999999</v>
      </c>
      <c r="G13">
        <v>127.97239999999999</v>
      </c>
      <c r="H13">
        <v>32.562399999999997</v>
      </c>
      <c r="I13">
        <v>910.67100000000005</v>
      </c>
      <c r="J13">
        <v>331.22399999999999</v>
      </c>
      <c r="K13">
        <v>4.4640000000000004</v>
      </c>
      <c r="L13">
        <v>477.49799999999999</v>
      </c>
      <c r="M13">
        <v>97.484999999999999</v>
      </c>
      <c r="N13">
        <v>301</v>
      </c>
      <c r="O13">
        <v>338</v>
      </c>
      <c r="P13">
        <v>431</v>
      </c>
      <c r="Q13">
        <v>268</v>
      </c>
      <c r="R13">
        <v>334</v>
      </c>
    </row>
    <row r="14" spans="1:18" x14ac:dyDescent="0.35">
      <c r="A14" s="3">
        <v>35065</v>
      </c>
      <c r="B14" s="4">
        <f t="shared" si="0"/>
        <v>1</v>
      </c>
      <c r="C14" s="4">
        <f t="shared" si="1"/>
        <v>1996</v>
      </c>
      <c r="D14">
        <v>313.50909999999999</v>
      </c>
      <c r="E14">
        <v>117.252</v>
      </c>
      <c r="F14">
        <v>2.6261000000000001</v>
      </c>
      <c r="G14">
        <v>149.23429999999999</v>
      </c>
      <c r="H14">
        <v>44.396700000000003</v>
      </c>
      <c r="I14">
        <v>960.93899999999996</v>
      </c>
      <c r="J14">
        <v>333.17599999999999</v>
      </c>
      <c r="K14">
        <v>5.2560000000000002</v>
      </c>
      <c r="L14">
        <v>556.64499999999998</v>
      </c>
      <c r="M14">
        <v>65.863</v>
      </c>
      <c r="N14">
        <v>326</v>
      </c>
      <c r="O14">
        <v>352</v>
      </c>
      <c r="P14">
        <v>500</v>
      </c>
      <c r="Q14">
        <v>268</v>
      </c>
      <c r="R14">
        <v>674</v>
      </c>
    </row>
    <row r="15" spans="1:18" x14ac:dyDescent="0.35">
      <c r="A15" s="3">
        <v>35096</v>
      </c>
      <c r="B15" s="4">
        <f t="shared" si="0"/>
        <v>2</v>
      </c>
      <c r="C15" s="4">
        <f t="shared" si="1"/>
        <v>1996</v>
      </c>
      <c r="D15">
        <v>281.92570000000001</v>
      </c>
      <c r="E15">
        <v>100.6053</v>
      </c>
      <c r="F15">
        <v>1.1009</v>
      </c>
      <c r="G15">
        <v>151.01689999999999</v>
      </c>
      <c r="H15">
        <v>29.2027</v>
      </c>
      <c r="I15">
        <v>903.74099999999999</v>
      </c>
      <c r="J15">
        <v>286.60000000000002</v>
      </c>
      <c r="K15">
        <v>2.593</v>
      </c>
      <c r="L15">
        <v>566.26599999999996</v>
      </c>
      <c r="M15">
        <v>48.281999999999996</v>
      </c>
      <c r="N15">
        <v>312</v>
      </c>
      <c r="O15">
        <v>351</v>
      </c>
      <c r="P15">
        <v>425</v>
      </c>
      <c r="Q15">
        <v>267</v>
      </c>
      <c r="R15">
        <v>605</v>
      </c>
    </row>
    <row r="16" spans="1:18" x14ac:dyDescent="0.35">
      <c r="A16" s="3">
        <v>35125</v>
      </c>
      <c r="B16" s="4">
        <f t="shared" si="0"/>
        <v>3</v>
      </c>
      <c r="C16" s="4">
        <f t="shared" si="1"/>
        <v>1996</v>
      </c>
      <c r="D16">
        <v>337.31849999999997</v>
      </c>
      <c r="E16">
        <v>116.176</v>
      </c>
      <c r="F16">
        <v>5.2858000000000001</v>
      </c>
      <c r="G16">
        <v>183.8997</v>
      </c>
      <c r="H16">
        <v>31.957000000000001</v>
      </c>
      <c r="I16">
        <v>1057.3130000000001</v>
      </c>
      <c r="J16">
        <v>341.39600000000002</v>
      </c>
      <c r="K16">
        <v>10.069000000000001</v>
      </c>
      <c r="L16">
        <v>650.01599999999996</v>
      </c>
      <c r="M16">
        <v>55.831000000000003</v>
      </c>
      <c r="N16">
        <v>319</v>
      </c>
      <c r="O16">
        <v>340</v>
      </c>
      <c r="P16">
        <v>525</v>
      </c>
      <c r="Q16">
        <v>283</v>
      </c>
      <c r="R16">
        <v>572</v>
      </c>
    </row>
    <row r="17" spans="1:18" x14ac:dyDescent="0.35">
      <c r="A17" s="3">
        <v>35156</v>
      </c>
      <c r="B17" s="4">
        <f t="shared" si="0"/>
        <v>4</v>
      </c>
      <c r="C17" s="4">
        <f t="shared" si="1"/>
        <v>1996</v>
      </c>
      <c r="D17">
        <v>393.3877</v>
      </c>
      <c r="E17">
        <v>152.62100000000001</v>
      </c>
      <c r="F17">
        <v>9.5367999999999995</v>
      </c>
      <c r="G17">
        <v>205.5746</v>
      </c>
      <c r="H17">
        <v>25.6553</v>
      </c>
      <c r="I17">
        <v>1204.258</v>
      </c>
      <c r="J17">
        <v>452.61</v>
      </c>
      <c r="K17">
        <v>12.84</v>
      </c>
      <c r="L17">
        <v>693.97799999999995</v>
      </c>
      <c r="M17">
        <v>44.83</v>
      </c>
      <c r="N17">
        <v>327</v>
      </c>
      <c r="O17">
        <v>337</v>
      </c>
      <c r="P17">
        <v>743</v>
      </c>
      <c r="Q17">
        <v>296</v>
      </c>
      <c r="R17">
        <v>572</v>
      </c>
    </row>
    <row r="18" spans="1:18" x14ac:dyDescent="0.35">
      <c r="A18" s="3">
        <v>35186</v>
      </c>
      <c r="B18" s="4">
        <f t="shared" si="0"/>
        <v>5</v>
      </c>
      <c r="C18" s="4">
        <f t="shared" si="1"/>
        <v>1996</v>
      </c>
      <c r="D18">
        <v>413.54199999999997</v>
      </c>
      <c r="E18">
        <v>145.49850000000001</v>
      </c>
      <c r="F18">
        <v>8.0449999999999999</v>
      </c>
      <c r="G18">
        <v>222.5487</v>
      </c>
      <c r="H18">
        <v>37.449800000000003</v>
      </c>
      <c r="I18">
        <v>1336.1389999999999</v>
      </c>
      <c r="J18">
        <v>464.596</v>
      </c>
      <c r="K18">
        <v>13.391999999999999</v>
      </c>
      <c r="L18">
        <v>799.69799999999998</v>
      </c>
      <c r="M18">
        <v>58.451999999999998</v>
      </c>
      <c r="N18">
        <v>310</v>
      </c>
      <c r="O18">
        <v>313</v>
      </c>
      <c r="P18">
        <v>601</v>
      </c>
      <c r="Q18">
        <v>278</v>
      </c>
      <c r="R18">
        <v>641</v>
      </c>
    </row>
    <row r="19" spans="1:18" x14ac:dyDescent="0.35">
      <c r="A19" s="3">
        <v>35217</v>
      </c>
      <c r="B19" s="4">
        <f t="shared" si="0"/>
        <v>6</v>
      </c>
      <c r="C19" s="4">
        <f t="shared" si="1"/>
        <v>1996</v>
      </c>
      <c r="D19">
        <v>365.24509999999998</v>
      </c>
      <c r="E19">
        <v>130.7826</v>
      </c>
      <c r="F19">
        <v>9.8696000000000002</v>
      </c>
      <c r="G19">
        <v>197.76779999999999</v>
      </c>
      <c r="H19">
        <v>26.824999999999999</v>
      </c>
      <c r="I19">
        <v>1126.7570000000001</v>
      </c>
      <c r="J19">
        <v>359.66199999999998</v>
      </c>
      <c r="K19">
        <v>12.743</v>
      </c>
      <c r="L19">
        <v>703.13199999999995</v>
      </c>
      <c r="M19">
        <v>51.22</v>
      </c>
      <c r="N19">
        <v>324</v>
      </c>
      <c r="O19">
        <v>364</v>
      </c>
      <c r="P19">
        <v>775</v>
      </c>
      <c r="Q19">
        <v>281</v>
      </c>
      <c r="R19">
        <v>524</v>
      </c>
    </row>
    <row r="20" spans="1:18" x14ac:dyDescent="0.35">
      <c r="A20" s="3">
        <v>35247</v>
      </c>
      <c r="B20" s="4">
        <f t="shared" si="0"/>
        <v>7</v>
      </c>
      <c r="C20" s="4">
        <f t="shared" si="1"/>
        <v>1996</v>
      </c>
      <c r="D20">
        <v>373.6705</v>
      </c>
      <c r="E20">
        <v>138.26410000000001</v>
      </c>
      <c r="F20">
        <v>7.5525000000000002</v>
      </c>
      <c r="G20">
        <v>197.91079999999999</v>
      </c>
      <c r="H20">
        <v>29.943100000000001</v>
      </c>
      <c r="I20">
        <v>1150.9110000000001</v>
      </c>
      <c r="J20">
        <v>358.363</v>
      </c>
      <c r="K20">
        <v>10.84</v>
      </c>
      <c r="L20">
        <v>712.06100000000004</v>
      </c>
      <c r="M20">
        <v>69.647000000000006</v>
      </c>
      <c r="N20">
        <v>325</v>
      </c>
      <c r="O20">
        <v>386</v>
      </c>
      <c r="P20">
        <v>697</v>
      </c>
      <c r="Q20">
        <v>278</v>
      </c>
      <c r="R20">
        <v>430</v>
      </c>
    </row>
    <row r="21" spans="1:18" x14ac:dyDescent="0.35">
      <c r="A21" s="3">
        <v>35278</v>
      </c>
      <c r="B21" s="4">
        <f t="shared" si="0"/>
        <v>8</v>
      </c>
      <c r="C21" s="4">
        <f t="shared" si="1"/>
        <v>1996</v>
      </c>
      <c r="D21">
        <v>386.06659999999999</v>
      </c>
      <c r="E21">
        <v>151.9365</v>
      </c>
      <c r="F21">
        <v>10.6265</v>
      </c>
      <c r="G21">
        <v>193.10499999999999</v>
      </c>
      <c r="H21">
        <v>30.398700000000002</v>
      </c>
      <c r="I21">
        <v>1244.6010000000001</v>
      </c>
      <c r="J21">
        <v>440.25599999999997</v>
      </c>
      <c r="K21">
        <v>15.073</v>
      </c>
      <c r="L21">
        <v>716.26599999999996</v>
      </c>
      <c r="M21">
        <v>73.006</v>
      </c>
      <c r="N21">
        <v>310</v>
      </c>
      <c r="O21">
        <v>345</v>
      </c>
      <c r="P21">
        <v>705</v>
      </c>
      <c r="Q21">
        <v>270</v>
      </c>
      <c r="R21">
        <v>416</v>
      </c>
    </row>
    <row r="22" spans="1:18" x14ac:dyDescent="0.35">
      <c r="A22" s="3">
        <v>35309</v>
      </c>
      <c r="B22" s="4">
        <f t="shared" si="0"/>
        <v>9</v>
      </c>
      <c r="C22" s="4">
        <f t="shared" si="1"/>
        <v>1996</v>
      </c>
      <c r="D22">
        <v>339.25330000000002</v>
      </c>
      <c r="E22">
        <v>115.2315</v>
      </c>
      <c r="F22">
        <v>4.2408999999999999</v>
      </c>
      <c r="G22">
        <v>189.2801</v>
      </c>
      <c r="H22">
        <v>30.500699999999998</v>
      </c>
      <c r="I22">
        <v>1046.6659999999999</v>
      </c>
      <c r="J22">
        <v>291.69799999999998</v>
      </c>
      <c r="K22">
        <v>6.6269999999999998</v>
      </c>
      <c r="L22">
        <v>706.10699999999997</v>
      </c>
      <c r="M22">
        <v>42.232999999999997</v>
      </c>
      <c r="N22">
        <v>324</v>
      </c>
      <c r="O22">
        <v>395</v>
      </c>
      <c r="P22">
        <v>640</v>
      </c>
      <c r="Q22">
        <v>268</v>
      </c>
      <c r="R22">
        <v>722</v>
      </c>
    </row>
    <row r="23" spans="1:18" x14ac:dyDescent="0.35">
      <c r="A23" s="3">
        <v>35339</v>
      </c>
      <c r="B23" s="4">
        <f t="shared" si="0"/>
        <v>10</v>
      </c>
      <c r="C23" s="4">
        <f t="shared" si="1"/>
        <v>1996</v>
      </c>
      <c r="D23">
        <v>348.90100000000001</v>
      </c>
      <c r="E23">
        <v>128.2713</v>
      </c>
      <c r="F23">
        <v>5.5765000000000002</v>
      </c>
      <c r="G23">
        <v>192.42949999999999</v>
      </c>
      <c r="H23">
        <v>22.623799999999999</v>
      </c>
      <c r="I23">
        <v>1120.643</v>
      </c>
      <c r="J23">
        <v>346.77</v>
      </c>
      <c r="K23">
        <v>7.4939999999999998</v>
      </c>
      <c r="L23">
        <v>734.67200000000003</v>
      </c>
      <c r="M23">
        <v>31.707000000000001</v>
      </c>
      <c r="N23">
        <v>311</v>
      </c>
      <c r="O23">
        <v>370</v>
      </c>
      <c r="P23">
        <v>744</v>
      </c>
      <c r="Q23">
        <v>262</v>
      </c>
      <c r="R23">
        <v>714</v>
      </c>
    </row>
    <row r="24" spans="1:18" x14ac:dyDescent="0.35">
      <c r="A24" s="3">
        <v>35370</v>
      </c>
      <c r="B24" s="4">
        <f t="shared" si="0"/>
        <v>11</v>
      </c>
      <c r="C24" s="4">
        <f t="shared" si="1"/>
        <v>1996</v>
      </c>
      <c r="D24">
        <v>315.60160000000002</v>
      </c>
      <c r="E24">
        <v>99.946899999999999</v>
      </c>
      <c r="F24">
        <v>4.2519</v>
      </c>
      <c r="G24">
        <v>167.56030000000001</v>
      </c>
      <c r="H24">
        <v>43.842399999999998</v>
      </c>
      <c r="I24">
        <v>952.58799999999997</v>
      </c>
      <c r="J24">
        <v>254.922</v>
      </c>
      <c r="K24">
        <v>6.0789999999999997</v>
      </c>
      <c r="L24">
        <v>635.68299999999999</v>
      </c>
      <c r="M24">
        <v>55.904000000000003</v>
      </c>
      <c r="N24">
        <v>331</v>
      </c>
      <c r="O24">
        <v>392</v>
      </c>
      <c r="P24">
        <v>699</v>
      </c>
      <c r="Q24">
        <v>264</v>
      </c>
      <c r="R24">
        <v>784</v>
      </c>
    </row>
    <row r="25" spans="1:18" x14ac:dyDescent="0.35">
      <c r="A25" s="3">
        <v>35400</v>
      </c>
      <c r="B25" s="4">
        <f t="shared" si="0"/>
        <v>12</v>
      </c>
      <c r="C25" s="4">
        <f t="shared" si="1"/>
        <v>1996</v>
      </c>
      <c r="D25">
        <v>355.26089999999999</v>
      </c>
      <c r="E25">
        <v>123.11320000000001</v>
      </c>
      <c r="F25">
        <v>6.08</v>
      </c>
      <c r="G25">
        <v>171.5172</v>
      </c>
      <c r="H25">
        <v>54.550400000000003</v>
      </c>
      <c r="I25">
        <v>1103.501</v>
      </c>
      <c r="J25">
        <v>296.81299999999999</v>
      </c>
      <c r="K25">
        <v>7.173</v>
      </c>
      <c r="L25">
        <v>687.99699999999996</v>
      </c>
      <c r="M25">
        <v>111.518</v>
      </c>
      <c r="N25">
        <v>322</v>
      </c>
      <c r="O25">
        <v>415</v>
      </c>
      <c r="P25">
        <v>848</v>
      </c>
      <c r="Q25">
        <v>249</v>
      </c>
      <c r="R25">
        <v>489</v>
      </c>
    </row>
    <row r="26" spans="1:18" x14ac:dyDescent="0.35">
      <c r="A26" s="3">
        <v>35431</v>
      </c>
      <c r="B26" s="4">
        <f t="shared" si="0"/>
        <v>1</v>
      </c>
      <c r="C26" s="4">
        <f t="shared" si="1"/>
        <v>1997</v>
      </c>
      <c r="D26">
        <v>338.64769999999999</v>
      </c>
      <c r="E26">
        <v>117.607</v>
      </c>
      <c r="F26">
        <v>4.3898000000000001</v>
      </c>
      <c r="G26">
        <v>167.60059999999999</v>
      </c>
      <c r="H26">
        <v>49.050400000000003</v>
      </c>
      <c r="I26">
        <v>1105.4929999999999</v>
      </c>
      <c r="J26">
        <v>383.50799999999998</v>
      </c>
      <c r="K26">
        <v>5.95</v>
      </c>
      <c r="L26">
        <v>615.76</v>
      </c>
      <c r="M26">
        <v>100.27500000000001</v>
      </c>
      <c r="N26">
        <v>306</v>
      </c>
      <c r="O26">
        <v>307</v>
      </c>
      <c r="P26">
        <v>738</v>
      </c>
      <c r="Q26">
        <v>272</v>
      </c>
      <c r="R26">
        <v>489</v>
      </c>
    </row>
    <row r="27" spans="1:18" x14ac:dyDescent="0.35">
      <c r="A27" s="3">
        <v>35462</v>
      </c>
      <c r="B27" s="4">
        <f t="shared" si="0"/>
        <v>2</v>
      </c>
      <c r="C27" s="4">
        <f t="shared" si="1"/>
        <v>1997</v>
      </c>
      <c r="D27">
        <v>331.59179999999998</v>
      </c>
      <c r="E27">
        <v>110.2971</v>
      </c>
      <c r="F27">
        <v>2.0718000000000001</v>
      </c>
      <c r="G27">
        <v>185.9408</v>
      </c>
      <c r="H27">
        <v>33.2821</v>
      </c>
      <c r="I27">
        <v>1044.4670000000001</v>
      </c>
      <c r="J27">
        <v>314.47300000000001</v>
      </c>
      <c r="K27">
        <v>2.1779999999999999</v>
      </c>
      <c r="L27">
        <v>672.06</v>
      </c>
      <c r="M27">
        <v>55.756999999999998</v>
      </c>
      <c r="N27">
        <v>317</v>
      </c>
      <c r="O27">
        <v>351</v>
      </c>
      <c r="P27">
        <v>951</v>
      </c>
      <c r="Q27">
        <v>277</v>
      </c>
      <c r="R27">
        <v>597</v>
      </c>
    </row>
    <row r="28" spans="1:18" x14ac:dyDescent="0.35">
      <c r="A28" s="3">
        <v>35490</v>
      </c>
      <c r="B28" s="4">
        <f t="shared" si="0"/>
        <v>3</v>
      </c>
      <c r="C28" s="4">
        <f t="shared" si="1"/>
        <v>1997</v>
      </c>
      <c r="D28">
        <v>381.90719999999999</v>
      </c>
      <c r="E28">
        <v>123.4019</v>
      </c>
      <c r="F28">
        <v>5.8654999999999999</v>
      </c>
      <c r="G28">
        <v>218.8305</v>
      </c>
      <c r="H28">
        <v>33.8093</v>
      </c>
      <c r="I28">
        <v>1214.671</v>
      </c>
      <c r="J28">
        <v>361.4</v>
      </c>
      <c r="K28">
        <v>7.2729999999999997</v>
      </c>
      <c r="L28">
        <v>789.11199999999997</v>
      </c>
      <c r="M28">
        <v>56.886000000000003</v>
      </c>
      <c r="N28">
        <v>314</v>
      </c>
      <c r="O28">
        <v>341</v>
      </c>
      <c r="P28">
        <v>807</v>
      </c>
      <c r="Q28">
        <v>277</v>
      </c>
      <c r="R28">
        <v>594</v>
      </c>
    </row>
    <row r="29" spans="1:18" x14ac:dyDescent="0.35">
      <c r="A29" s="3">
        <v>35521</v>
      </c>
      <c r="B29" s="4">
        <f t="shared" si="0"/>
        <v>4</v>
      </c>
      <c r="C29" s="4">
        <f t="shared" si="1"/>
        <v>1997</v>
      </c>
      <c r="D29">
        <v>425.53859999999997</v>
      </c>
      <c r="E29">
        <v>155.38419999999999</v>
      </c>
      <c r="F29">
        <v>5.5838000000000001</v>
      </c>
      <c r="G29">
        <v>235.39060000000001</v>
      </c>
      <c r="H29">
        <v>29.180099999999999</v>
      </c>
      <c r="I29">
        <v>1325.21</v>
      </c>
      <c r="J29">
        <v>456.47800000000001</v>
      </c>
      <c r="K29">
        <v>7.5279999999999996</v>
      </c>
      <c r="L29">
        <v>817.30499999999995</v>
      </c>
      <c r="M29">
        <v>43.899000000000001</v>
      </c>
      <c r="N29">
        <v>321</v>
      </c>
      <c r="O29">
        <v>340</v>
      </c>
      <c r="P29">
        <v>742</v>
      </c>
      <c r="Q29">
        <v>288</v>
      </c>
      <c r="R29">
        <v>665</v>
      </c>
    </row>
    <row r="30" spans="1:18" x14ac:dyDescent="0.35">
      <c r="A30" s="3">
        <v>35551</v>
      </c>
      <c r="B30" s="4">
        <f t="shared" si="0"/>
        <v>5</v>
      </c>
      <c r="C30" s="4">
        <f t="shared" si="1"/>
        <v>1997</v>
      </c>
      <c r="D30">
        <v>486.68939999999998</v>
      </c>
      <c r="E30">
        <v>168.19749999999999</v>
      </c>
      <c r="F30">
        <v>10.912699999999999</v>
      </c>
      <c r="G30">
        <v>268.35480000000001</v>
      </c>
      <c r="H30">
        <v>39.224400000000003</v>
      </c>
      <c r="I30">
        <v>1492.847</v>
      </c>
      <c r="J30">
        <v>443.46199999999999</v>
      </c>
      <c r="K30">
        <v>16.71</v>
      </c>
      <c r="L30">
        <v>971.62699999999995</v>
      </c>
      <c r="M30">
        <v>61.048000000000002</v>
      </c>
      <c r="N30">
        <v>326</v>
      </c>
      <c r="O30">
        <v>379</v>
      </c>
      <c r="P30">
        <v>653</v>
      </c>
      <c r="Q30">
        <v>276</v>
      </c>
      <c r="R30">
        <v>643</v>
      </c>
    </row>
    <row r="31" spans="1:18" x14ac:dyDescent="0.35">
      <c r="A31" s="3">
        <v>35582</v>
      </c>
      <c r="B31" s="4">
        <f t="shared" si="0"/>
        <v>6</v>
      </c>
      <c r="C31" s="4">
        <f t="shared" si="1"/>
        <v>1997</v>
      </c>
      <c r="D31">
        <v>453.55959999999999</v>
      </c>
      <c r="E31">
        <v>174.7165</v>
      </c>
      <c r="F31">
        <v>10.374599999999999</v>
      </c>
      <c r="G31">
        <v>242.0224</v>
      </c>
      <c r="H31">
        <v>26.446200000000001</v>
      </c>
      <c r="I31">
        <v>1444.537</v>
      </c>
      <c r="J31">
        <v>518.072</v>
      </c>
      <c r="K31">
        <v>12.414</v>
      </c>
      <c r="L31">
        <v>858.76499999999999</v>
      </c>
      <c r="M31">
        <v>55.286999999999999</v>
      </c>
      <c r="N31">
        <v>314</v>
      </c>
      <c r="O31">
        <v>337</v>
      </c>
      <c r="P31">
        <v>836</v>
      </c>
      <c r="Q31">
        <v>282</v>
      </c>
      <c r="R31">
        <v>478</v>
      </c>
    </row>
    <row r="32" spans="1:18" x14ac:dyDescent="0.35">
      <c r="A32" s="3">
        <v>35612</v>
      </c>
      <c r="B32" s="4">
        <f t="shared" si="0"/>
        <v>7</v>
      </c>
      <c r="C32" s="4">
        <f t="shared" si="1"/>
        <v>1997</v>
      </c>
      <c r="D32">
        <v>441.68630000000002</v>
      </c>
      <c r="E32">
        <v>173.2139</v>
      </c>
      <c r="F32">
        <v>6.6553000000000004</v>
      </c>
      <c r="G32">
        <v>232.29679999999999</v>
      </c>
      <c r="H32">
        <v>29.520199999999999</v>
      </c>
      <c r="I32">
        <v>1393.2929999999999</v>
      </c>
      <c r="J32">
        <v>472.23099999999999</v>
      </c>
      <c r="K32">
        <v>9.2439999999999998</v>
      </c>
      <c r="L32">
        <v>836.64099999999996</v>
      </c>
      <c r="M32">
        <v>75.177000000000007</v>
      </c>
      <c r="N32">
        <v>317</v>
      </c>
      <c r="O32">
        <v>367</v>
      </c>
      <c r="P32">
        <v>720</v>
      </c>
      <c r="Q32">
        <v>278</v>
      </c>
      <c r="R32">
        <v>393</v>
      </c>
    </row>
    <row r="33" spans="1:18" x14ac:dyDescent="0.35">
      <c r="A33" s="3">
        <v>35643</v>
      </c>
      <c r="B33" s="4">
        <f t="shared" si="0"/>
        <v>8</v>
      </c>
      <c r="C33" s="4">
        <f t="shared" si="1"/>
        <v>1997</v>
      </c>
      <c r="D33">
        <v>428.90219999999999</v>
      </c>
      <c r="E33">
        <v>156.4143</v>
      </c>
      <c r="F33">
        <v>6.5980999999999996</v>
      </c>
      <c r="G33">
        <v>235.9204</v>
      </c>
      <c r="H33">
        <v>29.9693</v>
      </c>
      <c r="I33">
        <v>1353.7570000000001</v>
      </c>
      <c r="J33">
        <v>419.06200000000001</v>
      </c>
      <c r="K33">
        <v>3.7130000000000001</v>
      </c>
      <c r="L33">
        <v>852.18</v>
      </c>
      <c r="M33">
        <v>78.802999999999997</v>
      </c>
      <c r="N33">
        <v>317</v>
      </c>
      <c r="O33">
        <v>373</v>
      </c>
      <c r="P33">
        <v>1777</v>
      </c>
      <c r="Q33">
        <v>277</v>
      </c>
      <c r="R33">
        <v>380</v>
      </c>
    </row>
    <row r="34" spans="1:18" x14ac:dyDescent="0.35">
      <c r="A34" s="3">
        <v>35674</v>
      </c>
      <c r="B34" s="4">
        <f t="shared" si="0"/>
        <v>9</v>
      </c>
      <c r="C34" s="4">
        <f t="shared" si="1"/>
        <v>1997</v>
      </c>
      <c r="D34">
        <v>431.46780000000001</v>
      </c>
      <c r="E34">
        <v>158.44649999999999</v>
      </c>
      <c r="F34">
        <v>6.5412999999999997</v>
      </c>
      <c r="G34">
        <v>236.4101</v>
      </c>
      <c r="H34">
        <v>30.07</v>
      </c>
      <c r="I34">
        <v>1353.578</v>
      </c>
      <c r="J34">
        <v>437.85199999999998</v>
      </c>
      <c r="K34">
        <v>3.681</v>
      </c>
      <c r="L34">
        <v>866.45899999999995</v>
      </c>
      <c r="M34">
        <v>45.585999999999999</v>
      </c>
      <c r="N34">
        <v>319</v>
      </c>
      <c r="O34">
        <v>362</v>
      </c>
      <c r="P34">
        <v>1777</v>
      </c>
      <c r="Q34">
        <v>273</v>
      </c>
      <c r="R34">
        <v>660</v>
      </c>
    </row>
    <row r="35" spans="1:18" x14ac:dyDescent="0.35">
      <c r="A35" s="3">
        <v>35704</v>
      </c>
      <c r="B35" s="4">
        <f t="shared" si="0"/>
        <v>10</v>
      </c>
      <c r="C35" s="4">
        <f t="shared" si="1"/>
        <v>1997</v>
      </c>
      <c r="D35">
        <v>421.66809999999998</v>
      </c>
      <c r="E35">
        <v>159.8338</v>
      </c>
      <c r="F35">
        <v>6.4851000000000001</v>
      </c>
      <c r="G35">
        <v>233.04499999999999</v>
      </c>
      <c r="H35">
        <v>22.304300000000001</v>
      </c>
      <c r="I35">
        <v>1329.152</v>
      </c>
      <c r="J35">
        <v>419.67899999999997</v>
      </c>
      <c r="K35">
        <v>3.649</v>
      </c>
      <c r="L35">
        <v>871.59900000000005</v>
      </c>
      <c r="M35">
        <v>34.223999999999997</v>
      </c>
      <c r="N35">
        <v>317</v>
      </c>
      <c r="O35">
        <v>381</v>
      </c>
      <c r="P35">
        <v>1777</v>
      </c>
      <c r="Q35">
        <v>267</v>
      </c>
      <c r="R35">
        <v>652</v>
      </c>
    </row>
    <row r="36" spans="1:18" x14ac:dyDescent="0.35">
      <c r="A36" s="3">
        <v>35735</v>
      </c>
      <c r="B36" s="4">
        <f t="shared" si="0"/>
        <v>11</v>
      </c>
      <c r="C36" s="4">
        <f t="shared" si="1"/>
        <v>1997</v>
      </c>
      <c r="D36">
        <v>343.4307</v>
      </c>
      <c r="E36">
        <v>108.2239</v>
      </c>
      <c r="F36">
        <v>6.4292999999999996</v>
      </c>
      <c r="G36">
        <v>185.55439999999999</v>
      </c>
      <c r="H36">
        <v>43.223199999999999</v>
      </c>
      <c r="I36">
        <v>1087.1679999999999</v>
      </c>
      <c r="J36">
        <v>309.89699999999999</v>
      </c>
      <c r="K36">
        <v>3.6179999999999999</v>
      </c>
      <c r="L36">
        <v>713.31100000000004</v>
      </c>
      <c r="M36">
        <v>60.343000000000004</v>
      </c>
      <c r="N36">
        <v>316</v>
      </c>
      <c r="O36">
        <v>349</v>
      </c>
      <c r="P36">
        <v>1777</v>
      </c>
      <c r="Q36">
        <v>260</v>
      </c>
      <c r="R36">
        <v>716</v>
      </c>
    </row>
    <row r="37" spans="1:18" x14ac:dyDescent="0.35">
      <c r="A37" s="3">
        <v>35765</v>
      </c>
      <c r="B37" s="4">
        <f t="shared" si="0"/>
        <v>12</v>
      </c>
      <c r="C37" s="4">
        <f t="shared" si="1"/>
        <v>1997</v>
      </c>
      <c r="D37">
        <v>379.755</v>
      </c>
      <c r="E37">
        <v>123.07810000000001</v>
      </c>
      <c r="F37">
        <v>6.3739999999999997</v>
      </c>
      <c r="G37">
        <v>196.52289999999999</v>
      </c>
      <c r="H37">
        <v>53.78</v>
      </c>
      <c r="I37">
        <v>1224.414</v>
      </c>
      <c r="J37">
        <v>329.053</v>
      </c>
      <c r="K37">
        <v>3.5870000000000002</v>
      </c>
      <c r="L37">
        <v>771.40200000000004</v>
      </c>
      <c r="M37">
        <v>120.372</v>
      </c>
      <c r="N37">
        <v>310</v>
      </c>
      <c r="O37">
        <v>374</v>
      </c>
      <c r="P37">
        <v>1777</v>
      </c>
      <c r="Q37">
        <v>255</v>
      </c>
      <c r="R37">
        <v>447</v>
      </c>
    </row>
    <row r="38" spans="1:18" x14ac:dyDescent="0.35">
      <c r="A38" s="3">
        <v>35796</v>
      </c>
      <c r="B38" s="4">
        <f t="shared" si="0"/>
        <v>1</v>
      </c>
      <c r="C38" s="4">
        <f t="shared" si="1"/>
        <v>1998</v>
      </c>
      <c r="D38">
        <v>382.5317</v>
      </c>
      <c r="E38">
        <v>111.8904</v>
      </c>
      <c r="F38">
        <v>4.7625000000000002</v>
      </c>
      <c r="G38">
        <v>215.7764</v>
      </c>
      <c r="H38">
        <v>50.102400000000003</v>
      </c>
      <c r="I38">
        <v>1274.6179999999999</v>
      </c>
      <c r="J38">
        <v>340.84300000000002</v>
      </c>
      <c r="K38">
        <v>6.7869999999999999</v>
      </c>
      <c r="L38">
        <v>856.91399999999999</v>
      </c>
      <c r="M38">
        <v>70.072999999999993</v>
      </c>
      <c r="N38">
        <v>300</v>
      </c>
      <c r="O38">
        <v>328</v>
      </c>
      <c r="P38">
        <v>702</v>
      </c>
      <c r="Q38">
        <v>252</v>
      </c>
      <c r="R38">
        <v>715</v>
      </c>
    </row>
    <row r="39" spans="1:18" x14ac:dyDescent="0.35">
      <c r="A39" s="3">
        <v>35827</v>
      </c>
      <c r="B39" s="4">
        <f t="shared" si="0"/>
        <v>2</v>
      </c>
      <c r="C39" s="4">
        <f t="shared" si="1"/>
        <v>1998</v>
      </c>
      <c r="D39">
        <v>366.39819999999997</v>
      </c>
      <c r="E39">
        <v>103.0103</v>
      </c>
      <c r="F39">
        <v>3.5756000000000001</v>
      </c>
      <c r="G39">
        <v>222.9982</v>
      </c>
      <c r="H39">
        <v>36.814100000000003</v>
      </c>
      <c r="I39">
        <v>1244.2260000000001</v>
      </c>
      <c r="J39">
        <v>311.423</v>
      </c>
      <c r="K39">
        <v>5.1970000000000001</v>
      </c>
      <c r="L39">
        <v>876.11800000000005</v>
      </c>
      <c r="M39">
        <v>51.488</v>
      </c>
      <c r="N39">
        <v>294</v>
      </c>
      <c r="O39">
        <v>331</v>
      </c>
      <c r="P39">
        <v>688</v>
      </c>
      <c r="Q39">
        <v>255</v>
      </c>
      <c r="R39">
        <v>715</v>
      </c>
    </row>
    <row r="40" spans="1:18" x14ac:dyDescent="0.35">
      <c r="A40" s="3">
        <v>35855</v>
      </c>
      <c r="B40" s="4">
        <f t="shared" si="0"/>
        <v>3</v>
      </c>
      <c r="C40" s="4">
        <f t="shared" si="1"/>
        <v>1998</v>
      </c>
      <c r="D40">
        <v>427.19490000000002</v>
      </c>
      <c r="E40">
        <v>122.99460000000001</v>
      </c>
      <c r="F40">
        <v>3.67</v>
      </c>
      <c r="G40">
        <v>263.86309999999997</v>
      </c>
      <c r="H40">
        <v>36.667299999999997</v>
      </c>
      <c r="I40">
        <v>1466.7729999999999</v>
      </c>
      <c r="J40">
        <v>365.541</v>
      </c>
      <c r="K40">
        <v>5.2350000000000003</v>
      </c>
      <c r="L40">
        <v>1044.7139999999999</v>
      </c>
      <c r="M40">
        <v>51.283000000000001</v>
      </c>
      <c r="N40">
        <v>291</v>
      </c>
      <c r="O40">
        <v>336</v>
      </c>
      <c r="P40">
        <v>701</v>
      </c>
      <c r="Q40">
        <v>253</v>
      </c>
      <c r="R40">
        <v>715</v>
      </c>
    </row>
    <row r="41" spans="1:18" x14ac:dyDescent="0.35">
      <c r="A41" s="3">
        <v>35886</v>
      </c>
      <c r="B41" s="4">
        <f t="shared" si="0"/>
        <v>4</v>
      </c>
      <c r="C41" s="4">
        <f t="shared" si="1"/>
        <v>1998</v>
      </c>
      <c r="D41">
        <v>439.995</v>
      </c>
      <c r="E41">
        <v>161.15729999999999</v>
      </c>
      <c r="F41">
        <v>5.1910999999999996</v>
      </c>
      <c r="G41">
        <v>240.2355</v>
      </c>
      <c r="H41">
        <v>33.411099999999998</v>
      </c>
      <c r="I41">
        <v>1450.673</v>
      </c>
      <c r="J41">
        <v>452.38900000000001</v>
      </c>
      <c r="K41">
        <v>6.7590000000000003</v>
      </c>
      <c r="L41">
        <v>944.79700000000003</v>
      </c>
      <c r="M41">
        <v>46.728999999999999</v>
      </c>
      <c r="N41">
        <v>303</v>
      </c>
      <c r="O41">
        <v>356</v>
      </c>
      <c r="P41">
        <v>768</v>
      </c>
      <c r="Q41">
        <v>254</v>
      </c>
      <c r="R41">
        <v>715</v>
      </c>
    </row>
    <row r="42" spans="1:18" x14ac:dyDescent="0.35">
      <c r="A42" s="3">
        <v>35916</v>
      </c>
      <c r="B42" s="4">
        <f t="shared" si="0"/>
        <v>5</v>
      </c>
      <c r="C42" s="4">
        <f t="shared" si="1"/>
        <v>1998</v>
      </c>
      <c r="D42">
        <v>520.37390000000005</v>
      </c>
      <c r="E42">
        <v>170.05459999999999</v>
      </c>
      <c r="F42">
        <v>6.6677999999999997</v>
      </c>
      <c r="G42">
        <v>297.57220000000001</v>
      </c>
      <c r="H42">
        <v>46.0794</v>
      </c>
      <c r="I42">
        <v>1827.4690000000001</v>
      </c>
      <c r="J42">
        <v>534.64400000000001</v>
      </c>
      <c r="K42">
        <v>8.6809999999999992</v>
      </c>
      <c r="L42">
        <v>1219.6969999999999</v>
      </c>
      <c r="M42">
        <v>64.447000000000003</v>
      </c>
      <c r="N42">
        <v>285</v>
      </c>
      <c r="O42">
        <v>318</v>
      </c>
      <c r="P42">
        <v>768</v>
      </c>
      <c r="Q42">
        <v>244</v>
      </c>
      <c r="R42">
        <v>715</v>
      </c>
    </row>
    <row r="43" spans="1:18" x14ac:dyDescent="0.35">
      <c r="A43" s="3">
        <v>35947</v>
      </c>
      <c r="B43" s="4">
        <f t="shared" si="0"/>
        <v>6</v>
      </c>
      <c r="C43" s="4">
        <f t="shared" si="1"/>
        <v>1998</v>
      </c>
      <c r="D43">
        <v>503.48759999999999</v>
      </c>
      <c r="E43">
        <v>193.09010000000001</v>
      </c>
      <c r="F43">
        <v>5.2530000000000001</v>
      </c>
      <c r="G43">
        <v>272.69810000000001</v>
      </c>
      <c r="H43">
        <v>32.446399999999997</v>
      </c>
      <c r="I43">
        <v>1737.8140000000001</v>
      </c>
      <c r="J43">
        <v>609.12199999999996</v>
      </c>
      <c r="K43">
        <v>6.8390000000000004</v>
      </c>
      <c r="L43">
        <v>1076.473</v>
      </c>
      <c r="M43">
        <v>45.38</v>
      </c>
      <c r="N43">
        <v>290</v>
      </c>
      <c r="O43">
        <v>317</v>
      </c>
      <c r="P43">
        <v>768</v>
      </c>
      <c r="Q43">
        <v>253</v>
      </c>
      <c r="R43">
        <v>715</v>
      </c>
    </row>
    <row r="44" spans="1:18" x14ac:dyDescent="0.35">
      <c r="A44" s="3">
        <v>35977</v>
      </c>
      <c r="B44" s="4">
        <f t="shared" si="0"/>
        <v>7</v>
      </c>
      <c r="C44" s="4">
        <f t="shared" si="1"/>
        <v>1998</v>
      </c>
      <c r="D44">
        <v>494.32560000000001</v>
      </c>
      <c r="E44">
        <v>179.75219999999999</v>
      </c>
      <c r="F44">
        <v>5.5210999999999997</v>
      </c>
      <c r="G44">
        <v>279.53210000000001</v>
      </c>
      <c r="H44">
        <v>29.520199999999999</v>
      </c>
      <c r="I44">
        <v>1681.9469999999999</v>
      </c>
      <c r="J44">
        <v>527.41899999999998</v>
      </c>
      <c r="K44">
        <v>7.1879999999999997</v>
      </c>
      <c r="L44">
        <v>1106.0519999999999</v>
      </c>
      <c r="M44">
        <v>41.286999999999999</v>
      </c>
      <c r="N44">
        <v>294</v>
      </c>
      <c r="O44">
        <v>341</v>
      </c>
      <c r="P44">
        <v>768</v>
      </c>
      <c r="Q44">
        <v>253</v>
      </c>
      <c r="R44">
        <v>715</v>
      </c>
    </row>
    <row r="45" spans="1:18" x14ac:dyDescent="0.35">
      <c r="A45" s="3">
        <v>36008</v>
      </c>
      <c r="B45" s="4">
        <f t="shared" si="0"/>
        <v>8</v>
      </c>
      <c r="C45" s="4">
        <f t="shared" si="1"/>
        <v>1998</v>
      </c>
      <c r="D45">
        <v>486.60700000000003</v>
      </c>
      <c r="E45">
        <v>169.78489999999999</v>
      </c>
      <c r="F45">
        <v>5.2986000000000004</v>
      </c>
      <c r="G45">
        <v>281.55419999999998</v>
      </c>
      <c r="H45">
        <v>29.9693</v>
      </c>
      <c r="I45">
        <v>1704.2719999999999</v>
      </c>
      <c r="J45">
        <v>514</v>
      </c>
      <c r="K45">
        <v>6.899</v>
      </c>
      <c r="L45">
        <v>1141.4590000000001</v>
      </c>
      <c r="M45">
        <v>41.914999999999999</v>
      </c>
      <c r="N45">
        <v>286</v>
      </c>
      <c r="O45">
        <v>330</v>
      </c>
      <c r="P45">
        <v>768</v>
      </c>
      <c r="Q45">
        <v>247</v>
      </c>
      <c r="R45">
        <v>715</v>
      </c>
    </row>
    <row r="46" spans="1:18" x14ac:dyDescent="0.35">
      <c r="A46" s="3">
        <v>36039</v>
      </c>
      <c r="B46" s="4">
        <f t="shared" si="0"/>
        <v>9</v>
      </c>
      <c r="C46" s="4">
        <f t="shared" si="1"/>
        <v>1998</v>
      </c>
      <c r="D46">
        <v>476.29050000000001</v>
      </c>
      <c r="E46">
        <v>161.86449999999999</v>
      </c>
      <c r="F46">
        <v>5.3890000000000002</v>
      </c>
      <c r="G46">
        <v>278.96710000000002</v>
      </c>
      <c r="H46">
        <v>30.07</v>
      </c>
      <c r="I46">
        <v>1677.7190000000001</v>
      </c>
      <c r="J46">
        <v>491.459</v>
      </c>
      <c r="K46">
        <v>7.016</v>
      </c>
      <c r="L46">
        <v>1137.1869999999999</v>
      </c>
      <c r="M46">
        <v>42.055999999999997</v>
      </c>
      <c r="N46">
        <v>284</v>
      </c>
      <c r="O46">
        <v>329</v>
      </c>
      <c r="P46">
        <v>768</v>
      </c>
      <c r="Q46">
        <v>245</v>
      </c>
      <c r="R46">
        <v>715</v>
      </c>
    </row>
    <row r="47" spans="1:18" x14ac:dyDescent="0.35">
      <c r="A47" s="3">
        <v>36069</v>
      </c>
      <c r="B47" s="4">
        <f t="shared" si="0"/>
        <v>10</v>
      </c>
      <c r="C47" s="4">
        <f t="shared" si="1"/>
        <v>1998</v>
      </c>
      <c r="D47">
        <v>454.6739</v>
      </c>
      <c r="E47">
        <v>153.36859999999999</v>
      </c>
      <c r="F47">
        <v>5.1769999999999996</v>
      </c>
      <c r="G47">
        <v>273.82389999999998</v>
      </c>
      <c r="H47">
        <v>22.304300000000001</v>
      </c>
      <c r="I47">
        <v>1619.82</v>
      </c>
      <c r="J47">
        <v>465.66300000000001</v>
      </c>
      <c r="K47">
        <v>6.74</v>
      </c>
      <c r="L47">
        <v>1116.222</v>
      </c>
      <c r="M47">
        <v>31.195</v>
      </c>
      <c r="N47">
        <v>281</v>
      </c>
      <c r="O47">
        <v>329</v>
      </c>
      <c r="P47">
        <v>768</v>
      </c>
      <c r="Q47">
        <v>245</v>
      </c>
      <c r="R47">
        <v>715</v>
      </c>
    </row>
    <row r="48" spans="1:18" x14ac:dyDescent="0.35">
      <c r="A48" s="3">
        <v>36100</v>
      </c>
      <c r="B48" s="4">
        <f t="shared" si="0"/>
        <v>11</v>
      </c>
      <c r="C48" s="4">
        <f t="shared" si="1"/>
        <v>1998</v>
      </c>
      <c r="D48">
        <v>460.69240000000002</v>
      </c>
      <c r="E48">
        <v>148.29419999999999</v>
      </c>
      <c r="F48">
        <v>5.4089999999999998</v>
      </c>
      <c r="G48">
        <v>263.76600000000002</v>
      </c>
      <c r="H48">
        <v>43.223199999999999</v>
      </c>
      <c r="I48">
        <v>1592.972</v>
      </c>
      <c r="J48">
        <v>450.25599999999997</v>
      </c>
      <c r="K48">
        <v>7.0419999999999998</v>
      </c>
      <c r="L48">
        <v>1075.221</v>
      </c>
      <c r="M48">
        <v>60.451999999999998</v>
      </c>
      <c r="N48">
        <v>289</v>
      </c>
      <c r="O48">
        <v>329</v>
      </c>
      <c r="P48">
        <v>768</v>
      </c>
      <c r="Q48">
        <v>245</v>
      </c>
      <c r="R48">
        <v>715</v>
      </c>
    </row>
    <row r="49" spans="1:18" x14ac:dyDescent="0.35">
      <c r="A49" s="3">
        <v>36130</v>
      </c>
      <c r="B49" s="4">
        <f t="shared" si="0"/>
        <v>12</v>
      </c>
      <c r="C49" s="4">
        <f t="shared" si="1"/>
        <v>1998</v>
      </c>
      <c r="D49">
        <v>614.27099999999996</v>
      </c>
      <c r="E49">
        <v>195.45099999999999</v>
      </c>
      <c r="F49">
        <v>5.58</v>
      </c>
      <c r="G49">
        <v>359.46</v>
      </c>
      <c r="H49">
        <v>53.78</v>
      </c>
      <c r="I49">
        <v>2141.2280000000001</v>
      </c>
      <c r="J49">
        <v>593.43499999999995</v>
      </c>
      <c r="K49">
        <v>7.2649999999999997</v>
      </c>
      <c r="L49">
        <v>1465.3109999999999</v>
      </c>
      <c r="M49">
        <v>75.216999999999999</v>
      </c>
      <c r="N49">
        <v>287</v>
      </c>
      <c r="O49">
        <v>329</v>
      </c>
      <c r="P49">
        <v>768</v>
      </c>
      <c r="Q49">
        <v>245</v>
      </c>
      <c r="R49">
        <v>715</v>
      </c>
    </row>
    <row r="50" spans="1:18" x14ac:dyDescent="0.35">
      <c r="A50" s="3">
        <v>36161</v>
      </c>
      <c r="B50" s="4">
        <f t="shared" si="0"/>
        <v>1</v>
      </c>
      <c r="C50" s="4">
        <f t="shared" si="1"/>
        <v>1999</v>
      </c>
      <c r="D50">
        <v>399.64229999999998</v>
      </c>
      <c r="E50">
        <v>95.572400000000002</v>
      </c>
      <c r="F50">
        <v>2.9451999999999998</v>
      </c>
      <c r="G50">
        <v>249.62180000000001</v>
      </c>
      <c r="H50">
        <v>51.502899999999997</v>
      </c>
      <c r="I50">
        <v>1356.7840000000001</v>
      </c>
      <c r="J50">
        <v>247.85900000000001</v>
      </c>
      <c r="K50">
        <v>4.2370000000000001</v>
      </c>
      <c r="L50">
        <v>1032.6559999999999</v>
      </c>
      <c r="M50">
        <v>72.031999999999996</v>
      </c>
      <c r="N50">
        <v>295</v>
      </c>
      <c r="O50">
        <v>386</v>
      </c>
      <c r="P50">
        <v>695</v>
      </c>
      <c r="Q50">
        <v>242</v>
      </c>
      <c r="R50">
        <v>715</v>
      </c>
    </row>
    <row r="51" spans="1:18" x14ac:dyDescent="0.35">
      <c r="A51" s="3">
        <v>36192</v>
      </c>
      <c r="B51" s="4">
        <f t="shared" si="0"/>
        <v>2</v>
      </c>
      <c r="C51" s="4">
        <f t="shared" si="1"/>
        <v>1999</v>
      </c>
      <c r="D51">
        <v>388.85109999999997</v>
      </c>
      <c r="E51">
        <v>88.335999999999999</v>
      </c>
      <c r="F51">
        <v>1.9428000000000001</v>
      </c>
      <c r="G51">
        <v>263.62599999999998</v>
      </c>
      <c r="H51">
        <v>34.946199999999997</v>
      </c>
      <c r="I51">
        <v>1390.124</v>
      </c>
      <c r="J51">
        <v>242.786</v>
      </c>
      <c r="K51">
        <v>2.0270000000000001</v>
      </c>
      <c r="L51">
        <v>1096.4359999999999</v>
      </c>
      <c r="M51">
        <v>48.875999999999998</v>
      </c>
      <c r="N51">
        <v>280</v>
      </c>
      <c r="O51">
        <v>364</v>
      </c>
      <c r="P51">
        <v>959</v>
      </c>
      <c r="Q51">
        <v>240</v>
      </c>
      <c r="R51">
        <v>715</v>
      </c>
    </row>
    <row r="52" spans="1:18" x14ac:dyDescent="0.35">
      <c r="A52" s="3">
        <v>36220</v>
      </c>
      <c r="B52" s="4">
        <f t="shared" si="0"/>
        <v>3</v>
      </c>
      <c r="C52" s="4">
        <f t="shared" si="1"/>
        <v>1999</v>
      </c>
      <c r="D52">
        <v>464.89769999999999</v>
      </c>
      <c r="E52">
        <v>112.8963</v>
      </c>
      <c r="F52">
        <v>2.8645</v>
      </c>
      <c r="G52">
        <v>313.63720000000001</v>
      </c>
      <c r="H52">
        <v>35.499699999999997</v>
      </c>
      <c r="I52">
        <v>1638.306</v>
      </c>
      <c r="J52">
        <v>282.79599999999999</v>
      </c>
      <c r="K52">
        <v>3.6789999999999998</v>
      </c>
      <c r="L52">
        <v>1302.181</v>
      </c>
      <c r="M52">
        <v>49.65</v>
      </c>
      <c r="N52">
        <v>284</v>
      </c>
      <c r="O52">
        <v>399</v>
      </c>
      <c r="P52">
        <v>779</v>
      </c>
      <c r="Q52">
        <v>241</v>
      </c>
      <c r="R52">
        <v>715</v>
      </c>
    </row>
    <row r="53" spans="1:18" x14ac:dyDescent="0.35">
      <c r="A53" s="3">
        <v>36251</v>
      </c>
      <c r="B53" s="4">
        <f t="shared" si="0"/>
        <v>4</v>
      </c>
      <c r="C53" s="4">
        <f t="shared" si="1"/>
        <v>1999</v>
      </c>
      <c r="D53">
        <v>469.18279999999999</v>
      </c>
      <c r="E53">
        <v>110.6934</v>
      </c>
      <c r="F53">
        <v>2.9630000000000001</v>
      </c>
      <c r="G53">
        <v>324.88740000000001</v>
      </c>
      <c r="H53">
        <v>30.639099999999999</v>
      </c>
      <c r="I53">
        <v>1650.796</v>
      </c>
      <c r="J53">
        <v>278.65300000000002</v>
      </c>
      <c r="K53">
        <v>4.4770000000000003</v>
      </c>
      <c r="L53">
        <v>1324.8140000000001</v>
      </c>
      <c r="M53">
        <v>42.851999999999997</v>
      </c>
      <c r="N53">
        <v>284</v>
      </c>
      <c r="O53">
        <v>397</v>
      </c>
      <c r="P53">
        <v>662</v>
      </c>
      <c r="Q53">
        <v>245</v>
      </c>
      <c r="R53">
        <v>715</v>
      </c>
    </row>
    <row r="54" spans="1:18" x14ac:dyDescent="0.35">
      <c r="A54" s="3">
        <v>36281</v>
      </c>
      <c r="B54" s="4">
        <f t="shared" si="0"/>
        <v>5</v>
      </c>
      <c r="C54" s="4">
        <f t="shared" si="1"/>
        <v>1999</v>
      </c>
      <c r="D54">
        <v>571.56200000000001</v>
      </c>
      <c r="E54">
        <v>140.8904</v>
      </c>
      <c r="F54">
        <v>3.415</v>
      </c>
      <c r="G54">
        <v>386.07100000000003</v>
      </c>
      <c r="H54">
        <v>41.185600000000001</v>
      </c>
      <c r="I54">
        <v>2082.81</v>
      </c>
      <c r="J54">
        <v>378.66300000000001</v>
      </c>
      <c r="K54">
        <v>4.6980000000000004</v>
      </c>
      <c r="L54">
        <v>1641.847</v>
      </c>
      <c r="M54">
        <v>57.601999999999997</v>
      </c>
      <c r="N54">
        <v>274</v>
      </c>
      <c r="O54">
        <v>372</v>
      </c>
      <c r="P54">
        <v>727</v>
      </c>
      <c r="Q54">
        <v>235</v>
      </c>
      <c r="R54">
        <v>715</v>
      </c>
    </row>
    <row r="55" spans="1:18" x14ac:dyDescent="0.35">
      <c r="A55" s="3">
        <v>36312</v>
      </c>
      <c r="B55" s="4">
        <f t="shared" si="0"/>
        <v>6</v>
      </c>
      <c r="C55" s="4">
        <f t="shared" si="1"/>
        <v>1999</v>
      </c>
      <c r="D55">
        <v>521.92250000000001</v>
      </c>
      <c r="E55">
        <v>141.4545</v>
      </c>
      <c r="F55">
        <v>5.8997000000000002</v>
      </c>
      <c r="G55">
        <v>346.7998</v>
      </c>
      <c r="H55">
        <v>27.7685</v>
      </c>
      <c r="I55">
        <v>1829.7270000000001</v>
      </c>
      <c r="J55">
        <v>363.19499999999999</v>
      </c>
      <c r="K55">
        <v>5.6950000000000003</v>
      </c>
      <c r="L55">
        <v>1421.999</v>
      </c>
      <c r="M55">
        <v>38.837000000000003</v>
      </c>
      <c r="N55">
        <v>285</v>
      </c>
      <c r="O55">
        <v>389</v>
      </c>
      <c r="P55">
        <v>1036</v>
      </c>
      <c r="Q55">
        <v>244</v>
      </c>
      <c r="R55">
        <v>715</v>
      </c>
    </row>
    <row r="56" spans="1:18" x14ac:dyDescent="0.35">
      <c r="A56" s="3">
        <v>36342</v>
      </c>
      <c r="B56" s="4">
        <f t="shared" si="0"/>
        <v>7</v>
      </c>
      <c r="C56" s="4">
        <f t="shared" si="1"/>
        <v>1999</v>
      </c>
      <c r="D56">
        <v>506.66419999999999</v>
      </c>
      <c r="E56">
        <v>132.19720000000001</v>
      </c>
      <c r="F56">
        <v>6.0675999999999997</v>
      </c>
      <c r="G56">
        <v>337.88</v>
      </c>
      <c r="H56">
        <v>30.519300000000001</v>
      </c>
      <c r="I56">
        <v>1781.5129999999999</v>
      </c>
      <c r="J56">
        <v>337.43</v>
      </c>
      <c r="K56">
        <v>6.2</v>
      </c>
      <c r="L56">
        <v>1394.5319999999999</v>
      </c>
      <c r="M56">
        <v>43.350999999999999</v>
      </c>
      <c r="N56">
        <v>284</v>
      </c>
      <c r="O56">
        <v>392</v>
      </c>
      <c r="P56">
        <v>979</v>
      </c>
      <c r="Q56">
        <v>242</v>
      </c>
      <c r="R56">
        <v>704</v>
      </c>
    </row>
    <row r="57" spans="1:18" x14ac:dyDescent="0.35">
      <c r="A57" s="3">
        <v>36373</v>
      </c>
      <c r="B57" s="4">
        <f t="shared" si="0"/>
        <v>8</v>
      </c>
      <c r="C57" s="4">
        <f t="shared" si="1"/>
        <v>1999</v>
      </c>
      <c r="D57">
        <v>532.09969999999998</v>
      </c>
      <c r="E57">
        <v>145.05510000000001</v>
      </c>
      <c r="F57">
        <v>5.7024999999999997</v>
      </c>
      <c r="G57">
        <v>350.35840000000002</v>
      </c>
      <c r="H57">
        <v>30.983699999999999</v>
      </c>
      <c r="I57">
        <v>1852.9970000000001</v>
      </c>
      <c r="J57">
        <v>350.64499999999998</v>
      </c>
      <c r="K57">
        <v>6.2</v>
      </c>
      <c r="L57">
        <v>1452.1410000000001</v>
      </c>
      <c r="M57">
        <v>44.011000000000003</v>
      </c>
      <c r="N57">
        <v>287</v>
      </c>
      <c r="O57">
        <v>414</v>
      </c>
      <c r="P57">
        <v>920</v>
      </c>
      <c r="Q57">
        <v>241</v>
      </c>
      <c r="R57">
        <v>704</v>
      </c>
    </row>
    <row r="58" spans="1:18" x14ac:dyDescent="0.35">
      <c r="A58" s="3">
        <v>36404</v>
      </c>
      <c r="B58" s="4">
        <f t="shared" si="0"/>
        <v>9</v>
      </c>
      <c r="C58" s="4">
        <f t="shared" si="1"/>
        <v>1999</v>
      </c>
      <c r="D58">
        <v>490.48289999999997</v>
      </c>
      <c r="E58">
        <v>131.40459999999999</v>
      </c>
      <c r="F58">
        <v>5.4602000000000004</v>
      </c>
      <c r="G58">
        <v>322.53030000000001</v>
      </c>
      <c r="H58">
        <v>31.087700000000002</v>
      </c>
      <c r="I58">
        <v>1748.8119999999999</v>
      </c>
      <c r="J58">
        <v>331.67099999999999</v>
      </c>
      <c r="K58">
        <v>6.2</v>
      </c>
      <c r="L58">
        <v>1366.7819999999999</v>
      </c>
      <c r="M58">
        <v>44.158999999999999</v>
      </c>
      <c r="N58">
        <v>280</v>
      </c>
      <c r="O58">
        <v>396</v>
      </c>
      <c r="P58">
        <v>881</v>
      </c>
      <c r="Q58">
        <v>236</v>
      </c>
      <c r="R58">
        <v>704</v>
      </c>
    </row>
    <row r="59" spans="1:18" x14ac:dyDescent="0.35">
      <c r="A59" s="3">
        <v>36434</v>
      </c>
      <c r="B59" s="4">
        <f t="shared" si="0"/>
        <v>10</v>
      </c>
      <c r="C59" s="4">
        <f t="shared" si="1"/>
        <v>1999</v>
      </c>
      <c r="D59">
        <v>474.50689999999997</v>
      </c>
      <c r="E59">
        <v>114.4552</v>
      </c>
      <c r="F59">
        <v>4.6257000000000001</v>
      </c>
      <c r="G59">
        <v>332.36680000000001</v>
      </c>
      <c r="H59">
        <v>23.059200000000001</v>
      </c>
      <c r="I59">
        <v>1779.5740000000001</v>
      </c>
      <c r="J59">
        <v>292.57299999999998</v>
      </c>
      <c r="K59">
        <v>5.23</v>
      </c>
      <c r="L59">
        <v>1449.0160000000001</v>
      </c>
      <c r="M59">
        <v>32.755000000000003</v>
      </c>
      <c r="N59">
        <v>267</v>
      </c>
      <c r="O59">
        <v>391</v>
      </c>
      <c r="P59">
        <v>884</v>
      </c>
      <c r="Q59">
        <v>229</v>
      </c>
      <c r="R59">
        <v>704</v>
      </c>
    </row>
    <row r="60" spans="1:18" x14ac:dyDescent="0.35">
      <c r="A60" s="3">
        <v>36465</v>
      </c>
      <c r="B60" s="4">
        <f t="shared" si="0"/>
        <v>11</v>
      </c>
      <c r="C60" s="4">
        <f t="shared" si="1"/>
        <v>1999</v>
      </c>
      <c r="D60">
        <v>502.00729999999999</v>
      </c>
      <c r="E60">
        <v>112.5269</v>
      </c>
      <c r="F60">
        <v>4.4856999999999996</v>
      </c>
      <c r="G60">
        <v>340.30849999999998</v>
      </c>
      <c r="H60">
        <v>44.686199999999999</v>
      </c>
      <c r="I60">
        <v>1821.2080000000001</v>
      </c>
      <c r="J60">
        <v>276.14499999999998</v>
      </c>
      <c r="K60">
        <v>4.9260000000000002</v>
      </c>
      <c r="L60">
        <v>1476.663</v>
      </c>
      <c r="M60">
        <v>63.475000000000001</v>
      </c>
      <c r="N60">
        <v>276</v>
      </c>
      <c r="O60">
        <v>407</v>
      </c>
      <c r="P60">
        <v>911</v>
      </c>
      <c r="Q60">
        <v>230</v>
      </c>
      <c r="R60">
        <v>704</v>
      </c>
    </row>
    <row r="61" spans="1:18" x14ac:dyDescent="0.35">
      <c r="A61" s="3">
        <v>36495</v>
      </c>
      <c r="B61" s="4">
        <f t="shared" si="0"/>
        <v>12</v>
      </c>
      <c r="C61" s="4">
        <f t="shared" si="1"/>
        <v>1999</v>
      </c>
      <c r="D61">
        <v>587.73530000000005</v>
      </c>
      <c r="E61">
        <v>122.86879999999999</v>
      </c>
      <c r="F61">
        <v>4.8353999999999999</v>
      </c>
      <c r="G61">
        <v>366.94729999999998</v>
      </c>
      <c r="H61">
        <v>93.083699999999993</v>
      </c>
      <c r="I61">
        <v>2004.655</v>
      </c>
      <c r="J61">
        <v>297.21600000000001</v>
      </c>
      <c r="K61">
        <v>5.2969999999999997</v>
      </c>
      <c r="L61">
        <v>1619.404</v>
      </c>
      <c r="M61">
        <v>82.738</v>
      </c>
      <c r="N61">
        <v>293</v>
      </c>
      <c r="O61">
        <v>413</v>
      </c>
      <c r="P61">
        <v>913</v>
      </c>
      <c r="Q61">
        <v>227</v>
      </c>
      <c r="R61">
        <v>1125</v>
      </c>
    </row>
    <row r="62" spans="1:18" x14ac:dyDescent="0.35">
      <c r="A62" s="3">
        <v>36526</v>
      </c>
      <c r="B62" s="4">
        <f t="shared" si="0"/>
        <v>1</v>
      </c>
      <c r="C62" s="4">
        <f t="shared" si="1"/>
        <v>2000</v>
      </c>
      <c r="D62">
        <v>456.24560000000002</v>
      </c>
      <c r="E62">
        <v>108.3258</v>
      </c>
      <c r="F62">
        <v>0.6069</v>
      </c>
      <c r="G62">
        <v>294.7799</v>
      </c>
      <c r="H62">
        <v>52.533000000000001</v>
      </c>
      <c r="I62">
        <v>1236.0250000000001</v>
      </c>
      <c r="J62">
        <v>273.19600000000003</v>
      </c>
      <c r="K62">
        <v>1.4359999999999999</v>
      </c>
      <c r="L62">
        <v>890.11400000000003</v>
      </c>
      <c r="M62">
        <v>71.278999999999996</v>
      </c>
      <c r="N62">
        <v>369</v>
      </c>
      <c r="O62">
        <v>397</v>
      </c>
      <c r="P62">
        <v>423</v>
      </c>
      <c r="Q62">
        <v>331</v>
      </c>
      <c r="R62">
        <v>737</v>
      </c>
    </row>
    <row r="63" spans="1:18" x14ac:dyDescent="0.35">
      <c r="A63" s="3">
        <v>36557</v>
      </c>
      <c r="B63" s="4">
        <f t="shared" si="0"/>
        <v>2</v>
      </c>
      <c r="C63" s="4">
        <f t="shared" si="1"/>
        <v>2000</v>
      </c>
      <c r="D63">
        <v>447.18700000000001</v>
      </c>
      <c r="E63">
        <v>104.20780000000001</v>
      </c>
      <c r="F63">
        <v>0.46479999999999999</v>
      </c>
      <c r="G63">
        <v>306.51979999999998</v>
      </c>
      <c r="H63">
        <v>35.994599999999998</v>
      </c>
      <c r="I63">
        <v>1235.9960000000001</v>
      </c>
      <c r="J63">
        <v>259.31599999999997</v>
      </c>
      <c r="K63">
        <v>0.626</v>
      </c>
      <c r="L63">
        <v>929.96600000000001</v>
      </c>
      <c r="M63">
        <v>46.088000000000001</v>
      </c>
      <c r="N63">
        <v>362</v>
      </c>
      <c r="O63">
        <v>402</v>
      </c>
      <c r="P63">
        <v>743</v>
      </c>
      <c r="Q63">
        <v>330</v>
      </c>
      <c r="R63">
        <v>781</v>
      </c>
    </row>
    <row r="64" spans="1:18" x14ac:dyDescent="0.35">
      <c r="A64" s="3">
        <v>36586</v>
      </c>
      <c r="B64" s="4">
        <f t="shared" si="0"/>
        <v>3</v>
      </c>
      <c r="C64" s="4">
        <f t="shared" si="1"/>
        <v>2000</v>
      </c>
      <c r="D64">
        <v>494.4502</v>
      </c>
      <c r="E64">
        <v>117.0774</v>
      </c>
      <c r="F64">
        <v>1.0387999999999999</v>
      </c>
      <c r="G64">
        <v>339.76920000000001</v>
      </c>
      <c r="H64">
        <v>36.564700000000002</v>
      </c>
      <c r="I64">
        <v>1384.829</v>
      </c>
      <c r="J64">
        <v>310.78500000000003</v>
      </c>
      <c r="K64">
        <v>1.339</v>
      </c>
      <c r="L64">
        <v>1020.7670000000001</v>
      </c>
      <c r="M64">
        <v>51.939</v>
      </c>
      <c r="N64">
        <v>357</v>
      </c>
      <c r="O64">
        <v>377</v>
      </c>
      <c r="P64">
        <v>776</v>
      </c>
      <c r="Q64">
        <v>333</v>
      </c>
      <c r="R64">
        <v>704</v>
      </c>
    </row>
    <row r="65" spans="1:18" x14ac:dyDescent="0.35">
      <c r="A65" s="3">
        <v>36617</v>
      </c>
      <c r="B65" s="4">
        <f t="shared" si="0"/>
        <v>4</v>
      </c>
      <c r="C65" s="4">
        <f t="shared" si="1"/>
        <v>2000</v>
      </c>
      <c r="D65">
        <v>498.83080000000001</v>
      </c>
      <c r="E65">
        <v>116.79470000000001</v>
      </c>
      <c r="F65">
        <v>0.77449999999999997</v>
      </c>
      <c r="G65">
        <v>349.39699999999999</v>
      </c>
      <c r="H65">
        <v>31.864599999999999</v>
      </c>
      <c r="I65">
        <v>1391.4770000000001</v>
      </c>
      <c r="J65">
        <v>308.072</v>
      </c>
      <c r="K65">
        <v>1.4239999999999999</v>
      </c>
      <c r="L65">
        <v>1037.414</v>
      </c>
      <c r="M65">
        <v>44.566000000000003</v>
      </c>
      <c r="N65">
        <v>358</v>
      </c>
      <c r="O65">
        <v>379</v>
      </c>
      <c r="P65">
        <v>544</v>
      </c>
      <c r="Q65">
        <v>337</v>
      </c>
      <c r="R65">
        <v>715</v>
      </c>
    </row>
    <row r="66" spans="1:18" x14ac:dyDescent="0.35">
      <c r="A66" s="3">
        <v>36647</v>
      </c>
      <c r="B66" s="4">
        <f t="shared" si="0"/>
        <v>5</v>
      </c>
      <c r="C66" s="4">
        <f t="shared" si="1"/>
        <v>2000</v>
      </c>
      <c r="D66">
        <v>590.74959999999999</v>
      </c>
      <c r="E66">
        <v>152.15219999999999</v>
      </c>
      <c r="F66">
        <v>0.77449999999999997</v>
      </c>
      <c r="G66">
        <v>395.40179999999998</v>
      </c>
      <c r="H66">
        <v>42.421100000000003</v>
      </c>
      <c r="I66">
        <v>1679.443</v>
      </c>
      <c r="J66">
        <v>407.52600000000001</v>
      </c>
      <c r="K66">
        <v>1.4239999999999999</v>
      </c>
      <c r="L66">
        <v>1212.0609999999999</v>
      </c>
      <c r="M66">
        <v>58.430999999999997</v>
      </c>
      <c r="N66">
        <v>352</v>
      </c>
      <c r="O66">
        <v>373</v>
      </c>
      <c r="P66">
        <v>544</v>
      </c>
      <c r="Q66">
        <v>326</v>
      </c>
      <c r="R66">
        <v>726</v>
      </c>
    </row>
    <row r="67" spans="1:18" x14ac:dyDescent="0.35">
      <c r="A67" s="3">
        <v>36678</v>
      </c>
      <c r="B67" s="4">
        <f t="shared" ref="B67:B130" si="2">MONTH(A67)</f>
        <v>6</v>
      </c>
      <c r="C67" s="4">
        <f t="shared" ref="C67:C130" si="3">YEAR(A67)</f>
        <v>2000</v>
      </c>
      <c r="D67">
        <v>541.57749999999999</v>
      </c>
      <c r="E67">
        <v>136.34049999999999</v>
      </c>
      <c r="F67">
        <v>0.77449999999999997</v>
      </c>
      <c r="G67">
        <v>375.58319999999998</v>
      </c>
      <c r="H67">
        <v>28.879200000000001</v>
      </c>
      <c r="I67">
        <v>1482.547</v>
      </c>
      <c r="J67">
        <v>348.40300000000002</v>
      </c>
      <c r="K67">
        <v>1.4239999999999999</v>
      </c>
      <c r="L67">
        <v>1095.2149999999999</v>
      </c>
      <c r="M67">
        <v>37.505000000000003</v>
      </c>
      <c r="N67">
        <v>365</v>
      </c>
      <c r="O67">
        <v>391</v>
      </c>
      <c r="P67">
        <v>544</v>
      </c>
      <c r="Q67">
        <v>343</v>
      </c>
      <c r="R67">
        <v>770</v>
      </c>
    </row>
    <row r="68" spans="1:18" x14ac:dyDescent="0.35">
      <c r="A68" s="3">
        <v>36708</v>
      </c>
      <c r="B68" s="4">
        <f t="shared" si="2"/>
        <v>7</v>
      </c>
      <c r="C68" s="4">
        <f t="shared" si="3"/>
        <v>2000</v>
      </c>
      <c r="D68">
        <v>557.59799999999996</v>
      </c>
      <c r="E68">
        <v>110.2178</v>
      </c>
      <c r="F68">
        <v>0.70799999999999996</v>
      </c>
      <c r="G68">
        <v>414.81389999999999</v>
      </c>
      <c r="H68">
        <v>31.8583</v>
      </c>
      <c r="I68">
        <v>1542.5129999999999</v>
      </c>
      <c r="J68">
        <v>277.07</v>
      </c>
      <c r="K68">
        <v>1.3160000000000001</v>
      </c>
      <c r="L68">
        <v>1230.7460000000001</v>
      </c>
      <c r="M68">
        <v>33.381999999999998</v>
      </c>
      <c r="N68">
        <v>361</v>
      </c>
      <c r="O68">
        <v>398</v>
      </c>
      <c r="P68">
        <v>538</v>
      </c>
      <c r="Q68">
        <v>337</v>
      </c>
      <c r="R68">
        <v>954</v>
      </c>
    </row>
    <row r="69" spans="1:18" x14ac:dyDescent="0.35">
      <c r="A69" s="3">
        <v>36739</v>
      </c>
      <c r="B69" s="4">
        <f t="shared" si="2"/>
        <v>8</v>
      </c>
      <c r="C69" s="4">
        <f t="shared" si="3"/>
        <v>2000</v>
      </c>
      <c r="D69">
        <v>608.06119999999999</v>
      </c>
      <c r="E69">
        <v>138.28229999999999</v>
      </c>
      <c r="F69">
        <v>0.70799999999999996</v>
      </c>
      <c r="G69">
        <v>436.90699999999998</v>
      </c>
      <c r="H69">
        <v>32.164000000000001</v>
      </c>
      <c r="I69">
        <v>1655.58</v>
      </c>
      <c r="J69">
        <v>329.89400000000001</v>
      </c>
      <c r="K69">
        <v>1.3160000000000001</v>
      </c>
      <c r="L69">
        <v>1278.683</v>
      </c>
      <c r="M69">
        <v>45.688000000000002</v>
      </c>
      <c r="N69">
        <v>367</v>
      </c>
      <c r="O69">
        <v>419</v>
      </c>
      <c r="P69">
        <v>538</v>
      </c>
      <c r="Q69">
        <v>342</v>
      </c>
      <c r="R69">
        <v>704</v>
      </c>
    </row>
    <row r="70" spans="1:18" x14ac:dyDescent="0.35">
      <c r="A70" s="3">
        <v>36770</v>
      </c>
      <c r="B70" s="4">
        <f t="shared" si="2"/>
        <v>9</v>
      </c>
      <c r="C70" s="4">
        <f t="shared" si="3"/>
        <v>2000</v>
      </c>
      <c r="D70">
        <v>568.54930000000002</v>
      </c>
      <c r="E70">
        <v>124.6318</v>
      </c>
      <c r="F70">
        <v>0.70799999999999996</v>
      </c>
      <c r="G70">
        <v>410.9375</v>
      </c>
      <c r="H70">
        <v>32.271999999999998</v>
      </c>
      <c r="I70">
        <v>1605.2470000000001</v>
      </c>
      <c r="J70">
        <v>310.92</v>
      </c>
      <c r="K70">
        <v>1.3160000000000001</v>
      </c>
      <c r="L70">
        <v>1247.17</v>
      </c>
      <c r="M70">
        <v>45.841000000000001</v>
      </c>
      <c r="N70">
        <v>354</v>
      </c>
      <c r="O70">
        <v>401</v>
      </c>
      <c r="P70">
        <v>538</v>
      </c>
      <c r="Q70">
        <v>329</v>
      </c>
      <c r="R70">
        <v>704</v>
      </c>
    </row>
    <row r="71" spans="1:18" x14ac:dyDescent="0.35">
      <c r="A71" s="3">
        <v>36800</v>
      </c>
      <c r="B71" s="4">
        <f t="shared" si="2"/>
        <v>10</v>
      </c>
      <c r="C71" s="4">
        <f t="shared" si="3"/>
        <v>2000</v>
      </c>
      <c r="D71">
        <v>559.52350000000001</v>
      </c>
      <c r="E71">
        <v>106.6314</v>
      </c>
      <c r="F71">
        <v>0.67749999999999999</v>
      </c>
      <c r="G71">
        <v>428.47190000000001</v>
      </c>
      <c r="H71">
        <v>23.742699999999999</v>
      </c>
      <c r="I71">
        <v>1665.1790000000001</v>
      </c>
      <c r="J71">
        <v>263.036</v>
      </c>
      <c r="K71">
        <v>1.232</v>
      </c>
      <c r="L71">
        <v>1340.0909999999999</v>
      </c>
      <c r="M71">
        <v>60.82</v>
      </c>
      <c r="N71">
        <v>336</v>
      </c>
      <c r="O71">
        <v>405</v>
      </c>
      <c r="P71">
        <v>550</v>
      </c>
      <c r="Q71">
        <v>320</v>
      </c>
      <c r="R71">
        <v>390</v>
      </c>
    </row>
    <row r="72" spans="1:18" x14ac:dyDescent="0.35">
      <c r="A72" s="3">
        <v>36831</v>
      </c>
      <c r="B72" s="4">
        <f t="shared" si="2"/>
        <v>11</v>
      </c>
      <c r="C72" s="4">
        <f t="shared" si="3"/>
        <v>2000</v>
      </c>
      <c r="D72">
        <v>583.12180000000001</v>
      </c>
      <c r="E72">
        <v>104.70310000000001</v>
      </c>
      <c r="F72">
        <v>0.67749999999999999</v>
      </c>
      <c r="G72">
        <v>431.35270000000003</v>
      </c>
      <c r="H72">
        <v>46.388500000000001</v>
      </c>
      <c r="I72">
        <v>1492.1980000000001</v>
      </c>
      <c r="J72">
        <v>246.608</v>
      </c>
      <c r="K72">
        <v>1.232</v>
      </c>
      <c r="L72">
        <v>1178.4649999999999</v>
      </c>
      <c r="M72">
        <v>65.893000000000001</v>
      </c>
      <c r="N72">
        <v>391</v>
      </c>
      <c r="O72">
        <v>425</v>
      </c>
      <c r="P72">
        <v>550</v>
      </c>
      <c r="Q72">
        <v>366</v>
      </c>
      <c r="R72">
        <v>704</v>
      </c>
    </row>
    <row r="73" spans="1:18" x14ac:dyDescent="0.35">
      <c r="A73" s="3">
        <v>36861</v>
      </c>
      <c r="B73" s="4">
        <f t="shared" si="2"/>
        <v>12</v>
      </c>
      <c r="C73" s="4">
        <f t="shared" si="3"/>
        <v>2000</v>
      </c>
      <c r="D73">
        <v>666.84849999999994</v>
      </c>
      <c r="E73">
        <v>115.045</v>
      </c>
      <c r="F73">
        <v>0.67749999999999999</v>
      </c>
      <c r="G73">
        <v>458.04230000000001</v>
      </c>
      <c r="H73">
        <v>93.083699999999993</v>
      </c>
      <c r="I73">
        <v>1628.001</v>
      </c>
      <c r="J73">
        <v>267.67899999999997</v>
      </c>
      <c r="K73">
        <v>1.232</v>
      </c>
      <c r="L73">
        <v>1276.3520000000001</v>
      </c>
      <c r="M73">
        <v>82.738</v>
      </c>
      <c r="N73">
        <v>410</v>
      </c>
      <c r="O73">
        <v>430</v>
      </c>
      <c r="P73">
        <v>550</v>
      </c>
      <c r="Q73">
        <v>359</v>
      </c>
      <c r="R73">
        <v>1125</v>
      </c>
    </row>
    <row r="74" spans="1:18" x14ac:dyDescent="0.35">
      <c r="A74" s="3">
        <v>36892</v>
      </c>
      <c r="B74" s="4">
        <f t="shared" si="2"/>
        <v>1</v>
      </c>
      <c r="C74" s="4">
        <f t="shared" si="3"/>
        <v>2001</v>
      </c>
      <c r="D74">
        <v>654.98199999999997</v>
      </c>
      <c r="E74">
        <v>71.500600000000006</v>
      </c>
      <c r="F74">
        <v>1.7057</v>
      </c>
      <c r="G74">
        <v>554.27570000000003</v>
      </c>
      <c r="H74">
        <v>27.5</v>
      </c>
      <c r="I74">
        <v>2061.018</v>
      </c>
      <c r="J74">
        <v>159.55699999999999</v>
      </c>
      <c r="K74">
        <v>2.044</v>
      </c>
      <c r="L74">
        <v>1857.1089999999999</v>
      </c>
      <c r="M74">
        <v>42.308</v>
      </c>
      <c r="N74">
        <v>318</v>
      </c>
      <c r="O74">
        <v>448</v>
      </c>
      <c r="P74">
        <v>835</v>
      </c>
      <c r="Q74">
        <v>298</v>
      </c>
      <c r="R74">
        <v>650</v>
      </c>
    </row>
    <row r="75" spans="1:18" x14ac:dyDescent="0.35">
      <c r="A75" s="3">
        <v>36923</v>
      </c>
      <c r="B75" s="4">
        <f t="shared" si="2"/>
        <v>2</v>
      </c>
      <c r="C75" s="4">
        <f t="shared" si="3"/>
        <v>2001</v>
      </c>
      <c r="D75">
        <v>637.67370000000005</v>
      </c>
      <c r="E75">
        <v>55.078699999999998</v>
      </c>
      <c r="F75">
        <v>0.95699999999999996</v>
      </c>
      <c r="G75">
        <v>557.43809999999996</v>
      </c>
      <c r="H75">
        <v>24.2</v>
      </c>
      <c r="I75">
        <v>2073.5439999999999</v>
      </c>
      <c r="J75">
        <v>138.441</v>
      </c>
      <c r="K75">
        <v>0.89700000000000002</v>
      </c>
      <c r="L75">
        <v>1896.9749999999999</v>
      </c>
      <c r="M75">
        <v>37.231000000000002</v>
      </c>
      <c r="N75">
        <v>308</v>
      </c>
      <c r="O75">
        <v>398</v>
      </c>
      <c r="P75">
        <v>1067</v>
      </c>
      <c r="Q75">
        <v>294</v>
      </c>
      <c r="R75">
        <v>650</v>
      </c>
    </row>
    <row r="76" spans="1:18" x14ac:dyDescent="0.35">
      <c r="A76" s="3">
        <v>36951</v>
      </c>
      <c r="B76" s="4">
        <f t="shared" si="2"/>
        <v>3</v>
      </c>
      <c r="C76" s="4">
        <f t="shared" si="3"/>
        <v>2001</v>
      </c>
      <c r="D76">
        <v>718.05499999999995</v>
      </c>
      <c r="E76">
        <v>72.762200000000007</v>
      </c>
      <c r="F76">
        <v>0.63770000000000004</v>
      </c>
      <c r="G76">
        <v>620.45510000000002</v>
      </c>
      <c r="H76">
        <v>24.2</v>
      </c>
      <c r="I76">
        <v>2247.5149999999999</v>
      </c>
      <c r="J76">
        <v>177.92500000000001</v>
      </c>
      <c r="K76">
        <v>0.42399999999999999</v>
      </c>
      <c r="L76">
        <v>2031.9349999999999</v>
      </c>
      <c r="M76">
        <v>37.231000000000002</v>
      </c>
      <c r="N76">
        <v>319</v>
      </c>
      <c r="O76">
        <v>409</v>
      </c>
      <c r="P76">
        <v>1505</v>
      </c>
      <c r="Q76">
        <v>305</v>
      </c>
      <c r="R76">
        <v>650</v>
      </c>
    </row>
    <row r="77" spans="1:18" x14ac:dyDescent="0.35">
      <c r="A77" s="3">
        <v>36982</v>
      </c>
      <c r="B77" s="4">
        <f t="shared" si="2"/>
        <v>4</v>
      </c>
      <c r="C77" s="4">
        <f t="shared" si="3"/>
        <v>2001</v>
      </c>
      <c r="D77">
        <v>734.80579999999998</v>
      </c>
      <c r="E77">
        <v>90.616100000000003</v>
      </c>
      <c r="F77">
        <v>0.11459999999999999</v>
      </c>
      <c r="G77">
        <v>633.24680000000001</v>
      </c>
      <c r="H77">
        <v>10.8283</v>
      </c>
      <c r="I77">
        <v>2323.7669999999998</v>
      </c>
      <c r="J77">
        <v>217.71899999999999</v>
      </c>
      <c r="K77">
        <v>0.19900000000000001</v>
      </c>
      <c r="L77">
        <v>2081.4830000000002</v>
      </c>
      <c r="M77">
        <v>24.366</v>
      </c>
      <c r="N77">
        <v>316</v>
      </c>
      <c r="O77">
        <v>416</v>
      </c>
      <c r="P77">
        <v>575</v>
      </c>
      <c r="Q77">
        <v>304</v>
      </c>
      <c r="R77">
        <v>444</v>
      </c>
    </row>
    <row r="78" spans="1:18" x14ac:dyDescent="0.35">
      <c r="A78" s="3">
        <v>37012</v>
      </c>
      <c r="B78" s="4">
        <f t="shared" si="2"/>
        <v>5</v>
      </c>
      <c r="C78" s="4">
        <f t="shared" si="3"/>
        <v>2001</v>
      </c>
      <c r="D78">
        <v>798.24379999999996</v>
      </c>
      <c r="E78">
        <v>80.641599999999997</v>
      </c>
      <c r="F78">
        <v>1.2052</v>
      </c>
      <c r="G78">
        <v>700.05340000000001</v>
      </c>
      <c r="H78">
        <v>16.343599999999999</v>
      </c>
      <c r="I78">
        <v>2569.346</v>
      </c>
      <c r="J78">
        <v>184.12899999999999</v>
      </c>
      <c r="K78">
        <v>0.872</v>
      </c>
      <c r="L78">
        <v>2349.4670000000001</v>
      </c>
      <c r="M78">
        <v>34.877000000000002</v>
      </c>
      <c r="N78">
        <v>311</v>
      </c>
      <c r="O78">
        <v>438</v>
      </c>
      <c r="P78">
        <v>1382</v>
      </c>
      <c r="Q78">
        <v>298</v>
      </c>
      <c r="R78">
        <v>469</v>
      </c>
    </row>
    <row r="79" spans="1:18" x14ac:dyDescent="0.35">
      <c r="A79" s="3">
        <v>37043</v>
      </c>
      <c r="B79" s="4">
        <f t="shared" si="2"/>
        <v>6</v>
      </c>
      <c r="C79" s="4">
        <f t="shared" si="3"/>
        <v>2001</v>
      </c>
      <c r="D79">
        <v>747.83699999999999</v>
      </c>
      <c r="E79">
        <v>67.357699999999994</v>
      </c>
      <c r="F79">
        <v>1.2052</v>
      </c>
      <c r="G79">
        <v>668.27409999999998</v>
      </c>
      <c r="H79">
        <v>11</v>
      </c>
      <c r="I79">
        <v>2347.1689999999999</v>
      </c>
      <c r="J79">
        <v>153.852</v>
      </c>
      <c r="K79">
        <v>0.872</v>
      </c>
      <c r="L79">
        <v>2167.7530000000002</v>
      </c>
      <c r="M79">
        <v>24.690999999999999</v>
      </c>
      <c r="N79">
        <v>319</v>
      </c>
      <c r="O79">
        <v>438</v>
      </c>
      <c r="P79">
        <v>1382</v>
      </c>
      <c r="Q79">
        <v>308</v>
      </c>
      <c r="R79">
        <v>446</v>
      </c>
    </row>
    <row r="80" spans="1:18" x14ac:dyDescent="0.35">
      <c r="A80" s="3">
        <v>37073</v>
      </c>
      <c r="B80" s="4">
        <f t="shared" si="2"/>
        <v>7</v>
      </c>
      <c r="C80" s="4">
        <f t="shared" si="3"/>
        <v>2001</v>
      </c>
      <c r="D80">
        <v>796.5951</v>
      </c>
      <c r="E80">
        <v>77.811599999999999</v>
      </c>
      <c r="F80">
        <v>0.7</v>
      </c>
      <c r="G80">
        <v>702.87940000000003</v>
      </c>
      <c r="H80">
        <v>15.2042</v>
      </c>
      <c r="I80">
        <v>2423.8739999999998</v>
      </c>
      <c r="J80">
        <v>185.708</v>
      </c>
      <c r="K80">
        <v>0.85299999999999998</v>
      </c>
      <c r="L80">
        <v>2203.8980000000001</v>
      </c>
      <c r="M80">
        <v>33.415999999999997</v>
      </c>
      <c r="N80">
        <v>329</v>
      </c>
      <c r="O80">
        <v>419</v>
      </c>
      <c r="P80">
        <v>821</v>
      </c>
      <c r="Q80">
        <v>319</v>
      </c>
      <c r="R80">
        <v>455</v>
      </c>
    </row>
    <row r="81" spans="1:18" x14ac:dyDescent="0.35">
      <c r="A81" s="3">
        <v>37104</v>
      </c>
      <c r="B81" s="4">
        <f t="shared" si="2"/>
        <v>8</v>
      </c>
      <c r="C81" s="4">
        <f t="shared" si="3"/>
        <v>2001</v>
      </c>
      <c r="D81">
        <v>789.3075</v>
      </c>
      <c r="E81">
        <v>60</v>
      </c>
      <c r="F81">
        <v>0.7</v>
      </c>
      <c r="G81">
        <v>708.82510000000002</v>
      </c>
      <c r="H81">
        <v>19.782399999999999</v>
      </c>
      <c r="I81">
        <v>2414.377</v>
      </c>
      <c r="J81">
        <v>143.19800000000001</v>
      </c>
      <c r="K81">
        <v>0.85299999999999998</v>
      </c>
      <c r="L81">
        <v>2226.8490000000002</v>
      </c>
      <c r="M81">
        <v>43.478000000000002</v>
      </c>
      <c r="N81">
        <v>327</v>
      </c>
      <c r="O81">
        <v>419</v>
      </c>
      <c r="P81">
        <v>821</v>
      </c>
      <c r="Q81">
        <v>318</v>
      </c>
      <c r="R81">
        <v>455</v>
      </c>
    </row>
    <row r="82" spans="1:18" x14ac:dyDescent="0.35">
      <c r="A82" s="3">
        <v>37135</v>
      </c>
      <c r="B82" s="4">
        <f t="shared" si="2"/>
        <v>9</v>
      </c>
      <c r="C82" s="4">
        <f t="shared" si="3"/>
        <v>2001</v>
      </c>
      <c r="D82">
        <v>772.08029999999997</v>
      </c>
      <c r="E82">
        <v>52.5214</v>
      </c>
      <c r="F82">
        <v>0.7</v>
      </c>
      <c r="G82">
        <v>707.85879999999997</v>
      </c>
      <c r="H82">
        <v>11</v>
      </c>
      <c r="I82">
        <v>2324.1469999999999</v>
      </c>
      <c r="J82">
        <v>125.349</v>
      </c>
      <c r="K82">
        <v>0.85299999999999998</v>
      </c>
      <c r="L82">
        <v>2173.7689999999998</v>
      </c>
      <c r="M82">
        <v>24.175999999999998</v>
      </c>
      <c r="N82">
        <v>332</v>
      </c>
      <c r="O82">
        <v>419</v>
      </c>
      <c r="P82">
        <v>821</v>
      </c>
      <c r="Q82">
        <v>326</v>
      </c>
      <c r="R82">
        <v>455</v>
      </c>
    </row>
    <row r="83" spans="1:18" x14ac:dyDescent="0.35">
      <c r="A83" s="3">
        <v>37165</v>
      </c>
      <c r="B83" s="4">
        <f t="shared" si="2"/>
        <v>10</v>
      </c>
      <c r="C83" s="4">
        <f t="shared" si="3"/>
        <v>2001</v>
      </c>
      <c r="D83">
        <v>792.82950000000005</v>
      </c>
      <c r="E83">
        <v>60.800400000000003</v>
      </c>
      <c r="F83">
        <v>0.7</v>
      </c>
      <c r="G83">
        <v>708.48490000000004</v>
      </c>
      <c r="H83">
        <v>22.844200000000001</v>
      </c>
      <c r="I83">
        <v>2440.3009999999999</v>
      </c>
      <c r="J83">
        <v>145.108</v>
      </c>
      <c r="K83">
        <v>0.75</v>
      </c>
      <c r="L83">
        <v>2244.2359999999999</v>
      </c>
      <c r="M83">
        <v>50.207000000000001</v>
      </c>
      <c r="N83">
        <v>325</v>
      </c>
      <c r="O83">
        <v>419</v>
      </c>
      <c r="P83">
        <v>933</v>
      </c>
      <c r="Q83">
        <v>316</v>
      </c>
      <c r="R83">
        <v>455</v>
      </c>
    </row>
    <row r="84" spans="1:18" x14ac:dyDescent="0.35">
      <c r="A84" s="3">
        <v>37196</v>
      </c>
      <c r="B84" s="4">
        <f t="shared" si="2"/>
        <v>11</v>
      </c>
      <c r="C84" s="4">
        <f t="shared" si="3"/>
        <v>2001</v>
      </c>
      <c r="D84">
        <v>693.82240000000002</v>
      </c>
      <c r="E84">
        <v>49.016300000000001</v>
      </c>
      <c r="F84">
        <v>0.75039999999999996</v>
      </c>
      <c r="G84">
        <v>619.29629999999997</v>
      </c>
      <c r="H84">
        <v>24.759399999999999</v>
      </c>
      <c r="I84">
        <v>2158.431</v>
      </c>
      <c r="J84">
        <v>116.98399999999999</v>
      </c>
      <c r="K84">
        <v>0.78</v>
      </c>
      <c r="L84">
        <v>1986.25</v>
      </c>
      <c r="M84">
        <v>54.415999999999997</v>
      </c>
      <c r="N84">
        <v>321</v>
      </c>
      <c r="O84">
        <v>419</v>
      </c>
      <c r="P84">
        <v>962</v>
      </c>
      <c r="Q84">
        <v>312</v>
      </c>
      <c r="R84">
        <v>455</v>
      </c>
    </row>
    <row r="85" spans="1:18" x14ac:dyDescent="0.35">
      <c r="A85" s="3">
        <v>37226</v>
      </c>
      <c r="B85" s="4">
        <f t="shared" si="2"/>
        <v>12</v>
      </c>
      <c r="C85" s="4">
        <f t="shared" si="3"/>
        <v>2001</v>
      </c>
      <c r="D85">
        <v>759.03179999999998</v>
      </c>
      <c r="E85">
        <v>65.1815</v>
      </c>
      <c r="F85">
        <v>0.80249999999999999</v>
      </c>
      <c r="G85">
        <v>602.44510000000002</v>
      </c>
      <c r="H85">
        <v>90.602699999999999</v>
      </c>
      <c r="I85">
        <v>2360.7849999999999</v>
      </c>
      <c r="J85">
        <v>155.56399999999999</v>
      </c>
      <c r="K85">
        <v>0.84</v>
      </c>
      <c r="L85">
        <v>2026.729</v>
      </c>
      <c r="M85">
        <v>177.65199999999999</v>
      </c>
      <c r="N85">
        <v>322</v>
      </c>
      <c r="O85">
        <v>419</v>
      </c>
      <c r="P85">
        <v>955</v>
      </c>
      <c r="Q85">
        <v>297</v>
      </c>
      <c r="R85">
        <v>510</v>
      </c>
    </row>
    <row r="86" spans="1:18" x14ac:dyDescent="0.35">
      <c r="A86" s="3">
        <v>37257</v>
      </c>
      <c r="B86" s="4">
        <f t="shared" si="2"/>
        <v>1</v>
      </c>
      <c r="C86" s="4">
        <f t="shared" si="3"/>
        <v>2002</v>
      </c>
      <c r="D86">
        <v>711.04300000000001</v>
      </c>
      <c r="E86">
        <v>65.388999999999996</v>
      </c>
      <c r="F86">
        <v>1.782</v>
      </c>
      <c r="G86">
        <v>615.327</v>
      </c>
      <c r="H86">
        <v>28.545000000000002</v>
      </c>
      <c r="I86">
        <v>2225.2020000000002</v>
      </c>
      <c r="J86">
        <v>151.32300000000001</v>
      </c>
      <c r="K86">
        <v>2.1150000000000002</v>
      </c>
      <c r="L86">
        <v>2030.3340000000001</v>
      </c>
      <c r="M86">
        <v>41.43</v>
      </c>
      <c r="N86">
        <v>320</v>
      </c>
      <c r="O86">
        <v>432</v>
      </c>
      <c r="P86">
        <v>843</v>
      </c>
      <c r="Q86">
        <v>303</v>
      </c>
      <c r="R86">
        <v>689</v>
      </c>
    </row>
    <row r="87" spans="1:18" x14ac:dyDescent="0.35">
      <c r="A87" s="3">
        <v>37288</v>
      </c>
      <c r="B87" s="4">
        <f t="shared" si="2"/>
        <v>2</v>
      </c>
      <c r="C87" s="4">
        <f t="shared" si="3"/>
        <v>2002</v>
      </c>
      <c r="D87">
        <v>718.86500000000001</v>
      </c>
      <c r="E87">
        <v>55.804000000000002</v>
      </c>
      <c r="F87">
        <v>1</v>
      </c>
      <c r="G87">
        <v>637.01400000000001</v>
      </c>
      <c r="H87">
        <v>25.047000000000001</v>
      </c>
      <c r="I87">
        <v>2262.8290000000002</v>
      </c>
      <c r="J87">
        <v>133.636</v>
      </c>
      <c r="K87">
        <v>0.92900000000000005</v>
      </c>
      <c r="L87">
        <v>2088.8200000000002</v>
      </c>
      <c r="M87">
        <v>39.444000000000003</v>
      </c>
      <c r="N87">
        <v>318</v>
      </c>
      <c r="O87">
        <v>418</v>
      </c>
      <c r="P87">
        <v>1076</v>
      </c>
      <c r="Q87">
        <v>305</v>
      </c>
      <c r="R87">
        <v>635</v>
      </c>
    </row>
    <row r="88" spans="1:18" x14ac:dyDescent="0.35">
      <c r="A88" s="3">
        <v>37316</v>
      </c>
      <c r="B88" s="4">
        <f t="shared" si="2"/>
        <v>3</v>
      </c>
      <c r="C88" s="4">
        <f t="shared" si="3"/>
        <v>2002</v>
      </c>
      <c r="D88">
        <v>744.52700000000004</v>
      </c>
      <c r="E88">
        <v>62.045000000000002</v>
      </c>
      <c r="F88">
        <v>0.67200000000000004</v>
      </c>
      <c r="G88">
        <v>650.18499999999995</v>
      </c>
      <c r="H88">
        <v>31.625</v>
      </c>
      <c r="I88">
        <v>2301.491</v>
      </c>
      <c r="J88">
        <v>144.61600000000001</v>
      </c>
      <c r="K88">
        <v>0.44500000000000001</v>
      </c>
      <c r="L88">
        <v>2106.627</v>
      </c>
      <c r="M88">
        <v>49.802999999999997</v>
      </c>
      <c r="N88">
        <v>323</v>
      </c>
      <c r="O88">
        <v>429</v>
      </c>
      <c r="P88">
        <v>1510</v>
      </c>
      <c r="Q88">
        <v>309</v>
      </c>
      <c r="R88">
        <v>635</v>
      </c>
    </row>
    <row r="89" spans="1:18" x14ac:dyDescent="0.35">
      <c r="A89" s="3">
        <v>37347</v>
      </c>
      <c r="B89" s="4">
        <f t="shared" si="2"/>
        <v>4</v>
      </c>
      <c r="C89" s="4">
        <f t="shared" si="3"/>
        <v>2002</v>
      </c>
      <c r="D89">
        <v>805.87199999999996</v>
      </c>
      <c r="E89">
        <v>66.373999999999995</v>
      </c>
      <c r="F89">
        <v>0.73899999999999999</v>
      </c>
      <c r="G89">
        <v>720.94600000000003</v>
      </c>
      <c r="H89">
        <v>17.812999999999999</v>
      </c>
      <c r="I89">
        <v>2496.5169999999998</v>
      </c>
      <c r="J89">
        <v>165.41300000000001</v>
      </c>
      <c r="K89">
        <v>0.77500000000000002</v>
      </c>
      <c r="L89">
        <v>2302.2779999999998</v>
      </c>
      <c r="M89">
        <v>28.050999999999998</v>
      </c>
      <c r="N89">
        <v>323</v>
      </c>
      <c r="O89">
        <v>401</v>
      </c>
      <c r="P89">
        <v>954</v>
      </c>
      <c r="Q89">
        <v>313</v>
      </c>
      <c r="R89">
        <v>635</v>
      </c>
    </row>
    <row r="90" spans="1:18" x14ac:dyDescent="0.35">
      <c r="A90" s="3">
        <v>37377</v>
      </c>
      <c r="B90" s="4">
        <f t="shared" si="2"/>
        <v>5</v>
      </c>
      <c r="C90" s="4">
        <f t="shared" si="3"/>
        <v>2002</v>
      </c>
      <c r="D90">
        <v>912.20500000000004</v>
      </c>
      <c r="E90">
        <v>69.605999999999995</v>
      </c>
      <c r="F90">
        <v>0.126</v>
      </c>
      <c r="G90">
        <v>820.52800000000002</v>
      </c>
      <c r="H90">
        <v>21.945</v>
      </c>
      <c r="I90">
        <v>2765.6559999999999</v>
      </c>
      <c r="J90">
        <v>191.661</v>
      </c>
      <c r="K90">
        <v>0.14099999999999999</v>
      </c>
      <c r="L90">
        <v>2542.7260000000001</v>
      </c>
      <c r="M90">
        <v>31.128</v>
      </c>
      <c r="N90">
        <v>330</v>
      </c>
      <c r="O90">
        <v>363</v>
      </c>
      <c r="P90">
        <v>894</v>
      </c>
      <c r="Q90">
        <v>323</v>
      </c>
      <c r="R90">
        <v>705</v>
      </c>
    </row>
    <row r="91" spans="1:18" x14ac:dyDescent="0.35">
      <c r="A91" s="3">
        <v>37408</v>
      </c>
      <c r="B91" s="4">
        <f t="shared" si="2"/>
        <v>6</v>
      </c>
      <c r="C91" s="4">
        <f t="shared" si="3"/>
        <v>2002</v>
      </c>
      <c r="D91">
        <v>860.00300000000004</v>
      </c>
      <c r="E91">
        <v>57.656999999999996</v>
      </c>
      <c r="F91">
        <v>1.145</v>
      </c>
      <c r="G91">
        <v>784.74199999999996</v>
      </c>
      <c r="H91">
        <v>16.459</v>
      </c>
      <c r="I91">
        <v>2514.8310000000001</v>
      </c>
      <c r="J91">
        <v>155.60300000000001</v>
      </c>
      <c r="K91">
        <v>0.91600000000000004</v>
      </c>
      <c r="L91">
        <v>2332.991</v>
      </c>
      <c r="M91">
        <v>25.321000000000002</v>
      </c>
      <c r="N91">
        <v>342</v>
      </c>
      <c r="O91">
        <v>371</v>
      </c>
      <c r="P91">
        <v>1250</v>
      </c>
      <c r="Q91">
        <v>336</v>
      </c>
      <c r="R91">
        <v>650</v>
      </c>
    </row>
    <row r="92" spans="1:18" x14ac:dyDescent="0.35">
      <c r="A92" s="3">
        <v>37438</v>
      </c>
      <c r="B92" s="4">
        <f t="shared" si="2"/>
        <v>7</v>
      </c>
      <c r="C92" s="4">
        <f t="shared" si="3"/>
        <v>2002</v>
      </c>
      <c r="D92">
        <v>843.07380000000001</v>
      </c>
      <c r="E92">
        <v>56.333100000000002</v>
      </c>
      <c r="F92">
        <v>0.66500000000000004</v>
      </c>
      <c r="G92">
        <v>769.52070000000003</v>
      </c>
      <c r="H92">
        <v>16.555</v>
      </c>
      <c r="I92">
        <v>2491.2730000000001</v>
      </c>
      <c r="J92">
        <v>154.52600000000001</v>
      </c>
      <c r="K92">
        <v>0.69899999999999995</v>
      </c>
      <c r="L92">
        <v>2310.5790000000002</v>
      </c>
      <c r="M92">
        <v>25.469000000000001</v>
      </c>
      <c r="N92">
        <v>338</v>
      </c>
      <c r="O92">
        <v>365</v>
      </c>
      <c r="P92">
        <v>951</v>
      </c>
      <c r="Q92">
        <v>333</v>
      </c>
      <c r="R92">
        <v>650</v>
      </c>
    </row>
    <row r="93" spans="1:18" x14ac:dyDescent="0.35">
      <c r="A93" s="3">
        <v>37469</v>
      </c>
      <c r="B93" s="4">
        <f t="shared" si="2"/>
        <v>8</v>
      </c>
      <c r="C93" s="4">
        <f t="shared" si="3"/>
        <v>2002</v>
      </c>
      <c r="D93">
        <v>849.13760000000002</v>
      </c>
      <c r="E93">
        <v>52.695599999999999</v>
      </c>
      <c r="F93">
        <v>0.70179999999999998</v>
      </c>
      <c r="G93">
        <v>777.97519999999997</v>
      </c>
      <c r="H93">
        <v>17.765000000000001</v>
      </c>
      <c r="I93">
        <v>2565.904</v>
      </c>
      <c r="J93">
        <v>149.703</v>
      </c>
      <c r="K93">
        <v>0.85099999999999998</v>
      </c>
      <c r="L93">
        <v>2389.4160000000002</v>
      </c>
      <c r="M93">
        <v>25.934000000000001</v>
      </c>
      <c r="N93">
        <v>331</v>
      </c>
      <c r="O93">
        <v>352</v>
      </c>
      <c r="P93">
        <v>825</v>
      </c>
      <c r="Q93">
        <v>326</v>
      </c>
      <c r="R93">
        <v>685</v>
      </c>
    </row>
    <row r="94" spans="1:18" x14ac:dyDescent="0.35">
      <c r="A94" s="3">
        <v>37500</v>
      </c>
      <c r="B94" s="4">
        <f t="shared" si="2"/>
        <v>9</v>
      </c>
      <c r="C94" s="4">
        <f t="shared" si="3"/>
        <v>2002</v>
      </c>
      <c r="D94">
        <v>860.59969999999998</v>
      </c>
      <c r="E94">
        <v>51.996099999999998</v>
      </c>
      <c r="F94">
        <v>0.66100000000000003</v>
      </c>
      <c r="G94">
        <v>794.35749999999996</v>
      </c>
      <c r="H94">
        <v>13.585000000000001</v>
      </c>
      <c r="I94">
        <v>2505.3339999999998</v>
      </c>
      <c r="J94">
        <v>141.90700000000001</v>
      </c>
      <c r="K94">
        <v>0.71799999999999997</v>
      </c>
      <c r="L94">
        <v>2343.8409999999999</v>
      </c>
      <c r="M94">
        <v>18.867999999999999</v>
      </c>
      <c r="N94">
        <v>344</v>
      </c>
      <c r="O94">
        <v>366</v>
      </c>
      <c r="P94">
        <v>921</v>
      </c>
      <c r="Q94">
        <v>339</v>
      </c>
      <c r="R94">
        <v>720</v>
      </c>
    </row>
    <row r="95" spans="1:18" x14ac:dyDescent="0.35">
      <c r="A95" s="3">
        <v>37530</v>
      </c>
      <c r="B95" s="4">
        <f t="shared" si="2"/>
        <v>10</v>
      </c>
      <c r="C95" s="4">
        <f t="shared" si="3"/>
        <v>2002</v>
      </c>
      <c r="D95">
        <v>848.28300000000002</v>
      </c>
      <c r="E95">
        <v>50.939</v>
      </c>
      <c r="F95">
        <v>0.6</v>
      </c>
      <c r="G95">
        <v>779.58399999999995</v>
      </c>
      <c r="H95">
        <v>17.16</v>
      </c>
      <c r="I95">
        <v>2615.0129999999999</v>
      </c>
      <c r="J95">
        <v>121.57299999999999</v>
      </c>
      <c r="K95">
        <v>0.65200000000000002</v>
      </c>
      <c r="L95">
        <v>2467.5529999999999</v>
      </c>
      <c r="M95">
        <v>25.234999999999999</v>
      </c>
      <c r="N95">
        <v>324</v>
      </c>
      <c r="O95">
        <v>419</v>
      </c>
      <c r="P95">
        <v>920</v>
      </c>
      <c r="Q95">
        <v>316</v>
      </c>
      <c r="R95">
        <v>680</v>
      </c>
    </row>
    <row r="96" spans="1:18" x14ac:dyDescent="0.35">
      <c r="A96" s="3">
        <v>37561</v>
      </c>
      <c r="B96" s="4">
        <f t="shared" si="2"/>
        <v>11</v>
      </c>
      <c r="C96" s="4">
        <f t="shared" si="3"/>
        <v>2002</v>
      </c>
      <c r="D96">
        <v>741.43799999999999</v>
      </c>
      <c r="E96">
        <v>45.585999999999999</v>
      </c>
      <c r="F96">
        <v>0.85</v>
      </c>
      <c r="G96">
        <v>675.202</v>
      </c>
      <c r="H96">
        <v>19.8</v>
      </c>
      <c r="I96">
        <v>2305.502</v>
      </c>
      <c r="J96">
        <v>108.797</v>
      </c>
      <c r="K96">
        <v>0.97699999999999998</v>
      </c>
      <c r="L96">
        <v>2168.4180000000001</v>
      </c>
      <c r="M96">
        <v>27.31</v>
      </c>
      <c r="N96">
        <v>322</v>
      </c>
      <c r="O96">
        <v>419</v>
      </c>
      <c r="P96">
        <v>870</v>
      </c>
      <c r="Q96">
        <v>311</v>
      </c>
      <c r="R96">
        <v>725</v>
      </c>
    </row>
    <row r="97" spans="1:18" x14ac:dyDescent="0.35">
      <c r="A97" s="3">
        <v>37591</v>
      </c>
      <c r="B97" s="4">
        <f t="shared" si="2"/>
        <v>12</v>
      </c>
      <c r="C97" s="4">
        <f t="shared" si="3"/>
        <v>2002</v>
      </c>
      <c r="D97">
        <v>919.40099999999995</v>
      </c>
      <c r="E97">
        <v>52.084000000000003</v>
      </c>
      <c r="F97">
        <v>1.1200000000000001</v>
      </c>
      <c r="G97">
        <v>772.697</v>
      </c>
      <c r="H97">
        <v>93.5</v>
      </c>
      <c r="I97">
        <v>2904.299</v>
      </c>
      <c r="J97">
        <v>161.25</v>
      </c>
      <c r="K97">
        <v>1.244</v>
      </c>
      <c r="L97">
        <v>2620.3760000000002</v>
      </c>
      <c r="M97">
        <v>121.429</v>
      </c>
      <c r="N97">
        <v>317</v>
      </c>
      <c r="O97">
        <v>323</v>
      </c>
      <c r="P97">
        <v>900</v>
      </c>
      <c r="Q97">
        <v>295</v>
      </c>
      <c r="R97">
        <v>770</v>
      </c>
    </row>
    <row r="98" spans="1:18" x14ac:dyDescent="0.35">
      <c r="A98" s="3">
        <v>37622</v>
      </c>
      <c r="B98" s="4">
        <f t="shared" si="2"/>
        <v>1</v>
      </c>
      <c r="C98" s="4">
        <f t="shared" si="3"/>
        <v>2003</v>
      </c>
      <c r="D98">
        <v>1051.2547</v>
      </c>
      <c r="E98">
        <v>116.5441</v>
      </c>
      <c r="F98">
        <v>1.2</v>
      </c>
      <c r="G98">
        <v>914.51160000000004</v>
      </c>
      <c r="H98">
        <v>18.998999999999999</v>
      </c>
      <c r="I98">
        <v>3443.3760000000002</v>
      </c>
      <c r="J98">
        <v>334.45699999999999</v>
      </c>
      <c r="K98">
        <v>1.3</v>
      </c>
      <c r="L98">
        <v>3079.6190000000001</v>
      </c>
      <c r="M98">
        <v>28</v>
      </c>
      <c r="N98">
        <v>305</v>
      </c>
      <c r="O98">
        <v>348</v>
      </c>
      <c r="P98">
        <v>923</v>
      </c>
      <c r="Q98">
        <v>297</v>
      </c>
      <c r="R98">
        <v>679</v>
      </c>
    </row>
    <row r="99" spans="1:18" x14ac:dyDescent="0.35">
      <c r="A99" s="3">
        <v>37653</v>
      </c>
      <c r="B99" s="4">
        <f t="shared" si="2"/>
        <v>2</v>
      </c>
      <c r="C99" s="4">
        <f t="shared" si="3"/>
        <v>2003</v>
      </c>
      <c r="D99">
        <v>979.75969999999995</v>
      </c>
      <c r="E99">
        <v>102.46299999999999</v>
      </c>
      <c r="F99">
        <v>1.3</v>
      </c>
      <c r="G99">
        <v>855.37170000000003</v>
      </c>
      <c r="H99">
        <v>20.625</v>
      </c>
      <c r="I99">
        <v>3168.45</v>
      </c>
      <c r="J99">
        <v>288.76400000000001</v>
      </c>
      <c r="K99">
        <v>1.4</v>
      </c>
      <c r="L99">
        <v>2847.73</v>
      </c>
      <c r="M99">
        <v>30.556000000000001</v>
      </c>
      <c r="N99">
        <v>309</v>
      </c>
      <c r="O99">
        <v>355</v>
      </c>
      <c r="P99">
        <v>929</v>
      </c>
      <c r="Q99">
        <v>300</v>
      </c>
      <c r="R99">
        <v>675</v>
      </c>
    </row>
    <row r="100" spans="1:18" x14ac:dyDescent="0.35">
      <c r="A100" s="3">
        <v>37681</v>
      </c>
      <c r="B100" s="4">
        <f t="shared" si="2"/>
        <v>3</v>
      </c>
      <c r="C100" s="4">
        <f t="shared" si="3"/>
        <v>2003</v>
      </c>
      <c r="D100">
        <v>1139.1124</v>
      </c>
      <c r="E100">
        <v>130.94290000000001</v>
      </c>
      <c r="F100">
        <v>1.7</v>
      </c>
      <c r="G100">
        <v>990.57449999999994</v>
      </c>
      <c r="H100">
        <v>15.895</v>
      </c>
      <c r="I100">
        <v>3717.1089999999999</v>
      </c>
      <c r="J100">
        <v>364.94499999999999</v>
      </c>
      <c r="K100">
        <v>1.8</v>
      </c>
      <c r="L100">
        <v>3330.098</v>
      </c>
      <c r="M100">
        <v>20.265999999999998</v>
      </c>
      <c r="N100">
        <v>306</v>
      </c>
      <c r="O100">
        <v>359</v>
      </c>
      <c r="P100">
        <v>944</v>
      </c>
      <c r="Q100">
        <v>297</v>
      </c>
      <c r="R100">
        <v>784</v>
      </c>
    </row>
    <row r="101" spans="1:18" x14ac:dyDescent="0.35">
      <c r="A101" s="3">
        <v>37712</v>
      </c>
      <c r="B101" s="4">
        <f t="shared" si="2"/>
        <v>4</v>
      </c>
      <c r="C101" s="4">
        <f t="shared" si="3"/>
        <v>2003</v>
      </c>
      <c r="D101">
        <v>1202.5097000000001</v>
      </c>
      <c r="E101">
        <v>136.05109999999999</v>
      </c>
      <c r="F101">
        <v>1.8217000000000001</v>
      </c>
      <c r="G101">
        <v>1048.6369999999999</v>
      </c>
      <c r="H101">
        <v>16</v>
      </c>
      <c r="I101">
        <v>3801.3310000000001</v>
      </c>
      <c r="J101">
        <v>379.149</v>
      </c>
      <c r="K101">
        <v>1.863</v>
      </c>
      <c r="L101">
        <v>3399.319</v>
      </c>
      <c r="M101">
        <v>21</v>
      </c>
      <c r="N101">
        <v>316</v>
      </c>
      <c r="O101">
        <v>359</v>
      </c>
      <c r="P101">
        <v>978</v>
      </c>
      <c r="Q101">
        <v>308</v>
      </c>
      <c r="R101">
        <v>762</v>
      </c>
    </row>
    <row r="102" spans="1:18" x14ac:dyDescent="0.35">
      <c r="A102" s="3">
        <v>37742</v>
      </c>
      <c r="B102" s="4">
        <f t="shared" si="2"/>
        <v>5</v>
      </c>
      <c r="C102" s="4">
        <f t="shared" si="3"/>
        <v>2003</v>
      </c>
      <c r="D102">
        <v>1350.9668999999999</v>
      </c>
      <c r="E102">
        <v>170.8914</v>
      </c>
      <c r="F102">
        <v>0.4</v>
      </c>
      <c r="G102">
        <v>1159.6755000000001</v>
      </c>
      <c r="H102">
        <v>20</v>
      </c>
      <c r="I102">
        <v>4470.8320000000003</v>
      </c>
      <c r="J102">
        <v>483.42500000000001</v>
      </c>
      <c r="K102">
        <v>0.5</v>
      </c>
      <c r="L102">
        <v>3960.9070000000002</v>
      </c>
      <c r="M102">
        <v>26</v>
      </c>
      <c r="N102">
        <v>302</v>
      </c>
      <c r="O102">
        <v>354</v>
      </c>
      <c r="P102">
        <v>800</v>
      </c>
      <c r="Q102">
        <v>293</v>
      </c>
      <c r="R102">
        <v>769</v>
      </c>
    </row>
    <row r="103" spans="1:18" x14ac:dyDescent="0.35">
      <c r="A103" s="3">
        <v>37773</v>
      </c>
      <c r="B103" s="4">
        <f t="shared" si="2"/>
        <v>6</v>
      </c>
      <c r="C103" s="4">
        <f t="shared" si="3"/>
        <v>2003</v>
      </c>
      <c r="D103">
        <v>1351.1706999999999</v>
      </c>
      <c r="E103">
        <v>160.011</v>
      </c>
      <c r="F103">
        <v>0</v>
      </c>
      <c r="G103">
        <v>1181.6596</v>
      </c>
      <c r="H103">
        <v>9.5</v>
      </c>
      <c r="I103">
        <v>4205.9579999999996</v>
      </c>
      <c r="J103">
        <v>426.60300000000001</v>
      </c>
      <c r="K103">
        <v>0</v>
      </c>
      <c r="L103">
        <v>3767.355</v>
      </c>
      <c r="M103">
        <v>12</v>
      </c>
      <c r="N103">
        <v>321</v>
      </c>
      <c r="O103">
        <v>375</v>
      </c>
      <c r="P103">
        <v>0</v>
      </c>
      <c r="Q103">
        <v>314</v>
      </c>
      <c r="R103">
        <v>792</v>
      </c>
    </row>
    <row r="104" spans="1:18" x14ac:dyDescent="0.35">
      <c r="A104" s="3">
        <v>37803</v>
      </c>
      <c r="B104" s="4">
        <f t="shared" si="2"/>
        <v>7</v>
      </c>
      <c r="C104" s="4">
        <f t="shared" si="3"/>
        <v>2003</v>
      </c>
      <c r="D104">
        <v>1361.3620000000001</v>
      </c>
      <c r="E104">
        <v>160.58449999999999</v>
      </c>
      <c r="F104">
        <v>0</v>
      </c>
      <c r="G104">
        <v>1180.4055000000001</v>
      </c>
      <c r="H104">
        <v>20.372</v>
      </c>
      <c r="I104">
        <v>4156.7950000000001</v>
      </c>
      <c r="J104">
        <v>422.40600000000001</v>
      </c>
      <c r="K104">
        <v>0</v>
      </c>
      <c r="L104">
        <v>3707.0430000000001</v>
      </c>
      <c r="M104">
        <v>27.346</v>
      </c>
      <c r="N104">
        <v>328</v>
      </c>
      <c r="O104">
        <v>380</v>
      </c>
      <c r="P104">
        <v>0</v>
      </c>
      <c r="Q104">
        <v>318</v>
      </c>
      <c r="R104">
        <v>745</v>
      </c>
    </row>
    <row r="105" spans="1:18" x14ac:dyDescent="0.35">
      <c r="A105" s="3">
        <v>37834</v>
      </c>
      <c r="B105" s="4">
        <f t="shared" si="2"/>
        <v>8</v>
      </c>
      <c r="C105" s="4">
        <f t="shared" si="3"/>
        <v>2003</v>
      </c>
      <c r="D105">
        <v>1401.2462</v>
      </c>
      <c r="E105">
        <v>154.90010000000001</v>
      </c>
      <c r="F105">
        <v>0</v>
      </c>
      <c r="G105">
        <v>1228.3461</v>
      </c>
      <c r="H105">
        <v>18</v>
      </c>
      <c r="I105">
        <v>4277.5429999999997</v>
      </c>
      <c r="J105">
        <v>391.96300000000002</v>
      </c>
      <c r="K105">
        <v>0</v>
      </c>
      <c r="L105">
        <v>3861.88</v>
      </c>
      <c r="M105">
        <v>23.7</v>
      </c>
      <c r="N105">
        <v>328</v>
      </c>
      <c r="O105">
        <v>395</v>
      </c>
      <c r="P105">
        <v>0</v>
      </c>
      <c r="Q105">
        <v>318</v>
      </c>
      <c r="R105">
        <v>759</v>
      </c>
    </row>
    <row r="106" spans="1:18" x14ac:dyDescent="0.35">
      <c r="A106" s="3">
        <v>37865</v>
      </c>
      <c r="B106" s="4">
        <f t="shared" si="2"/>
        <v>9</v>
      </c>
      <c r="C106" s="4">
        <f t="shared" si="3"/>
        <v>2003</v>
      </c>
      <c r="D106">
        <v>1365.5084999999999</v>
      </c>
      <c r="E106">
        <v>147.29599999999999</v>
      </c>
      <c r="F106">
        <v>0</v>
      </c>
      <c r="G106">
        <v>1201.2125000000001</v>
      </c>
      <c r="H106">
        <v>17</v>
      </c>
      <c r="I106">
        <v>4259.6729999999998</v>
      </c>
      <c r="J106">
        <v>368.91</v>
      </c>
      <c r="K106">
        <v>0</v>
      </c>
      <c r="L106">
        <v>3867.7629999999999</v>
      </c>
      <c r="M106">
        <v>23</v>
      </c>
      <c r="N106">
        <v>321</v>
      </c>
      <c r="O106">
        <v>399</v>
      </c>
      <c r="P106">
        <v>0</v>
      </c>
      <c r="Q106">
        <v>311</v>
      </c>
      <c r="R106">
        <v>739</v>
      </c>
    </row>
    <row r="107" spans="1:18" x14ac:dyDescent="0.35">
      <c r="A107" s="3">
        <v>37895</v>
      </c>
      <c r="B107" s="4">
        <f t="shared" si="2"/>
        <v>10</v>
      </c>
      <c r="C107" s="4">
        <f t="shared" si="3"/>
        <v>2003</v>
      </c>
      <c r="D107">
        <v>1391.0111999999999</v>
      </c>
      <c r="E107">
        <v>139.1831</v>
      </c>
      <c r="F107">
        <v>0</v>
      </c>
      <c r="G107">
        <v>1239.1280999999999</v>
      </c>
      <c r="H107">
        <v>12.7</v>
      </c>
      <c r="I107">
        <v>4365.7160000000003</v>
      </c>
      <c r="J107">
        <v>382.18799999999999</v>
      </c>
      <c r="K107">
        <v>0</v>
      </c>
      <c r="L107">
        <v>3966.011</v>
      </c>
      <c r="M107">
        <v>17.516999999999999</v>
      </c>
      <c r="N107">
        <v>319</v>
      </c>
      <c r="O107">
        <v>364</v>
      </c>
      <c r="P107">
        <v>0</v>
      </c>
      <c r="Q107">
        <v>312</v>
      </c>
      <c r="R107">
        <v>725</v>
      </c>
    </row>
    <row r="108" spans="1:18" x14ac:dyDescent="0.35">
      <c r="A108" s="3">
        <v>37926</v>
      </c>
      <c r="B108" s="4">
        <f t="shared" si="2"/>
        <v>11</v>
      </c>
      <c r="C108" s="4">
        <f t="shared" si="3"/>
        <v>2003</v>
      </c>
      <c r="D108">
        <v>1203.7084</v>
      </c>
      <c r="E108">
        <v>114.48909999999999</v>
      </c>
      <c r="F108">
        <v>0</v>
      </c>
      <c r="G108">
        <v>1078.2193</v>
      </c>
      <c r="H108">
        <v>11</v>
      </c>
      <c r="I108">
        <v>3828.2539999999999</v>
      </c>
      <c r="J108">
        <v>301.245</v>
      </c>
      <c r="K108">
        <v>0</v>
      </c>
      <c r="L108">
        <v>3512.009</v>
      </c>
      <c r="M108">
        <v>15</v>
      </c>
      <c r="N108">
        <v>314</v>
      </c>
      <c r="O108">
        <v>380</v>
      </c>
      <c r="P108">
        <v>0</v>
      </c>
      <c r="Q108">
        <v>307</v>
      </c>
      <c r="R108">
        <v>733</v>
      </c>
    </row>
    <row r="109" spans="1:18" x14ac:dyDescent="0.35">
      <c r="A109" s="3">
        <v>37956</v>
      </c>
      <c r="B109" s="4">
        <f t="shared" si="2"/>
        <v>12</v>
      </c>
      <c r="C109" s="4">
        <f t="shared" si="3"/>
        <v>2003</v>
      </c>
      <c r="D109">
        <v>1341.0761</v>
      </c>
      <c r="E109">
        <v>131.9213</v>
      </c>
      <c r="F109">
        <v>0</v>
      </c>
      <c r="G109">
        <v>1134.6548</v>
      </c>
      <c r="H109">
        <v>74.5</v>
      </c>
      <c r="I109">
        <v>4290.8990000000003</v>
      </c>
      <c r="J109">
        <v>353.99400000000003</v>
      </c>
      <c r="K109">
        <v>0</v>
      </c>
      <c r="L109">
        <v>3833</v>
      </c>
      <c r="M109">
        <v>103.905</v>
      </c>
      <c r="N109">
        <v>313</v>
      </c>
      <c r="O109">
        <v>373</v>
      </c>
      <c r="P109">
        <v>0</v>
      </c>
      <c r="Q109">
        <v>296</v>
      </c>
      <c r="R109">
        <v>717</v>
      </c>
    </row>
    <row r="110" spans="1:18" x14ac:dyDescent="0.35">
      <c r="A110" s="3">
        <v>37987</v>
      </c>
      <c r="B110" s="4">
        <f t="shared" si="2"/>
        <v>1</v>
      </c>
      <c r="C110" s="4">
        <f t="shared" si="3"/>
        <v>2004</v>
      </c>
      <c r="D110">
        <v>1081.8634999999999</v>
      </c>
      <c r="E110">
        <v>128.4658</v>
      </c>
      <c r="F110">
        <v>0</v>
      </c>
      <c r="G110">
        <v>938.37339999999995</v>
      </c>
      <c r="H110">
        <v>15.0244</v>
      </c>
      <c r="I110">
        <v>3559.8829999999998</v>
      </c>
      <c r="J110">
        <v>335.18</v>
      </c>
      <c r="K110">
        <v>0</v>
      </c>
      <c r="L110">
        <v>3207.3139999999999</v>
      </c>
      <c r="M110">
        <v>17.388999999999999</v>
      </c>
      <c r="N110">
        <v>304</v>
      </c>
      <c r="O110">
        <v>383</v>
      </c>
      <c r="P110">
        <v>0</v>
      </c>
      <c r="Q110">
        <v>293</v>
      </c>
      <c r="R110">
        <v>864</v>
      </c>
    </row>
    <row r="111" spans="1:18" x14ac:dyDescent="0.35">
      <c r="A111" s="3">
        <v>38018</v>
      </c>
      <c r="B111" s="4">
        <f t="shared" si="2"/>
        <v>2</v>
      </c>
      <c r="C111" s="4">
        <f t="shared" si="3"/>
        <v>2004</v>
      </c>
      <c r="D111">
        <v>1171.7737</v>
      </c>
      <c r="E111">
        <v>127.21680000000001</v>
      </c>
      <c r="F111">
        <v>0</v>
      </c>
      <c r="G111">
        <v>1026.5277000000001</v>
      </c>
      <c r="H111">
        <v>18.029199999999999</v>
      </c>
      <c r="I111">
        <v>3763.9679999999998</v>
      </c>
      <c r="J111">
        <v>322.20100000000002</v>
      </c>
      <c r="K111">
        <v>0</v>
      </c>
      <c r="L111">
        <v>3418.3519999999999</v>
      </c>
      <c r="M111">
        <v>23.414999999999999</v>
      </c>
      <c r="N111">
        <v>311</v>
      </c>
      <c r="O111">
        <v>395</v>
      </c>
      <c r="P111">
        <v>0</v>
      </c>
      <c r="Q111">
        <v>300</v>
      </c>
      <c r="R111">
        <v>770</v>
      </c>
    </row>
    <row r="112" spans="1:18" x14ac:dyDescent="0.35">
      <c r="A112" s="3">
        <v>38047</v>
      </c>
      <c r="B112" s="4">
        <f t="shared" si="2"/>
        <v>3</v>
      </c>
      <c r="C112" s="4">
        <f t="shared" si="3"/>
        <v>2004</v>
      </c>
      <c r="D112">
        <v>1480.2239999999999</v>
      </c>
      <c r="E112">
        <v>164.25839999999999</v>
      </c>
      <c r="F112">
        <v>0</v>
      </c>
      <c r="G112">
        <v>1303.4372000000001</v>
      </c>
      <c r="H112">
        <v>12.528499999999999</v>
      </c>
      <c r="I112">
        <v>4606.875</v>
      </c>
      <c r="J112">
        <v>393.34199999999998</v>
      </c>
      <c r="K112">
        <v>0</v>
      </c>
      <c r="L112">
        <v>4196.9390000000003</v>
      </c>
      <c r="M112">
        <v>16.594000000000001</v>
      </c>
      <c r="N112">
        <v>321</v>
      </c>
      <c r="O112">
        <v>418</v>
      </c>
      <c r="P112">
        <v>0</v>
      </c>
      <c r="Q112">
        <v>311</v>
      </c>
      <c r="R112">
        <v>755</v>
      </c>
    </row>
    <row r="113" spans="1:18" x14ac:dyDescent="0.35">
      <c r="A113" s="3">
        <v>38078</v>
      </c>
      <c r="B113" s="4">
        <f t="shared" si="2"/>
        <v>4</v>
      </c>
      <c r="C113" s="4">
        <f t="shared" si="3"/>
        <v>2004</v>
      </c>
      <c r="D113">
        <v>1513.5151000000001</v>
      </c>
      <c r="E113">
        <v>163.33160000000001</v>
      </c>
      <c r="F113">
        <v>0</v>
      </c>
      <c r="G113">
        <v>1337.4409000000001</v>
      </c>
      <c r="H113">
        <v>12.742599999999999</v>
      </c>
      <c r="I113">
        <v>4583.33</v>
      </c>
      <c r="J113">
        <v>399.24799999999999</v>
      </c>
      <c r="K113">
        <v>0</v>
      </c>
      <c r="L113">
        <v>4167.3590000000004</v>
      </c>
      <c r="M113">
        <v>16.722999999999999</v>
      </c>
      <c r="N113">
        <v>330</v>
      </c>
      <c r="O113">
        <v>409</v>
      </c>
      <c r="P113">
        <v>0</v>
      </c>
      <c r="Q113">
        <v>321</v>
      </c>
      <c r="R113">
        <v>762</v>
      </c>
    </row>
    <row r="114" spans="1:18" x14ac:dyDescent="0.35">
      <c r="A114" s="3">
        <v>38108</v>
      </c>
      <c r="B114" s="4">
        <f t="shared" si="2"/>
        <v>5</v>
      </c>
      <c r="C114" s="4">
        <f t="shared" si="3"/>
        <v>2004</v>
      </c>
      <c r="D114">
        <v>1770.3978</v>
      </c>
      <c r="E114">
        <v>177.15270000000001</v>
      </c>
      <c r="F114">
        <v>0</v>
      </c>
      <c r="G114">
        <v>1575.8351</v>
      </c>
      <c r="H114">
        <v>17.41</v>
      </c>
      <c r="I114">
        <v>5588.3789999999999</v>
      </c>
      <c r="J114">
        <v>468.005</v>
      </c>
      <c r="K114">
        <v>0</v>
      </c>
      <c r="L114">
        <v>5098.7470000000003</v>
      </c>
      <c r="M114">
        <v>21.626999999999999</v>
      </c>
      <c r="N114">
        <v>317</v>
      </c>
      <c r="O114">
        <v>379</v>
      </c>
      <c r="P114">
        <v>0</v>
      </c>
      <c r="Q114">
        <v>309</v>
      </c>
      <c r="R114">
        <v>805</v>
      </c>
    </row>
    <row r="115" spans="1:18" x14ac:dyDescent="0.35">
      <c r="A115" s="3">
        <v>38139</v>
      </c>
      <c r="B115" s="4">
        <f t="shared" si="2"/>
        <v>6</v>
      </c>
      <c r="C115" s="4">
        <f t="shared" si="3"/>
        <v>2004</v>
      </c>
      <c r="D115">
        <v>1684.7248</v>
      </c>
      <c r="E115">
        <v>171.28550000000001</v>
      </c>
      <c r="F115">
        <v>0</v>
      </c>
      <c r="G115">
        <v>1500.6967</v>
      </c>
      <c r="H115">
        <v>12.742599999999999</v>
      </c>
      <c r="I115">
        <v>5181.2089999999998</v>
      </c>
      <c r="J115">
        <v>456.30200000000002</v>
      </c>
      <c r="K115">
        <v>0</v>
      </c>
      <c r="L115">
        <v>4708.1840000000002</v>
      </c>
      <c r="M115">
        <v>16.722999999999999</v>
      </c>
      <c r="N115">
        <v>325</v>
      </c>
      <c r="O115">
        <v>375</v>
      </c>
      <c r="P115">
        <v>0</v>
      </c>
      <c r="Q115">
        <v>319</v>
      </c>
      <c r="R115">
        <v>762</v>
      </c>
    </row>
    <row r="116" spans="1:18" x14ac:dyDescent="0.35">
      <c r="A116" s="3">
        <v>38169</v>
      </c>
      <c r="B116" s="4">
        <f t="shared" si="2"/>
        <v>7</v>
      </c>
      <c r="C116" s="4">
        <f t="shared" si="3"/>
        <v>2004</v>
      </c>
      <c r="D116">
        <v>1654.376</v>
      </c>
      <c r="E116">
        <v>161.76480000000001</v>
      </c>
      <c r="F116">
        <v>0</v>
      </c>
      <c r="G116">
        <v>1476.5385000000001</v>
      </c>
      <c r="H116">
        <v>16.072800000000001</v>
      </c>
      <c r="I116">
        <v>4982.5410000000002</v>
      </c>
      <c r="J116">
        <v>386.512</v>
      </c>
      <c r="K116">
        <v>0</v>
      </c>
      <c r="L116">
        <v>4575.5540000000001</v>
      </c>
      <c r="M116">
        <v>20.475000000000001</v>
      </c>
      <c r="N116">
        <v>332</v>
      </c>
      <c r="O116">
        <v>419</v>
      </c>
      <c r="P116">
        <v>0</v>
      </c>
      <c r="Q116">
        <v>323</v>
      </c>
      <c r="R116">
        <v>785</v>
      </c>
    </row>
    <row r="117" spans="1:18" x14ac:dyDescent="0.35">
      <c r="A117" s="3">
        <v>38200</v>
      </c>
      <c r="B117" s="4">
        <f t="shared" si="2"/>
        <v>8</v>
      </c>
      <c r="C117" s="4">
        <f t="shared" si="3"/>
        <v>2004</v>
      </c>
      <c r="D117">
        <v>1786.8078</v>
      </c>
      <c r="E117">
        <v>163.12479999999999</v>
      </c>
      <c r="F117">
        <v>0</v>
      </c>
      <c r="G117">
        <v>1612.2292</v>
      </c>
      <c r="H117">
        <v>11.453799999999999</v>
      </c>
      <c r="I117">
        <v>5451.3029999999999</v>
      </c>
      <c r="J117">
        <v>394.70499999999998</v>
      </c>
      <c r="K117">
        <v>0</v>
      </c>
      <c r="L117">
        <v>5038.0789999999997</v>
      </c>
      <c r="M117">
        <v>18.518999999999998</v>
      </c>
      <c r="N117">
        <v>328</v>
      </c>
      <c r="O117">
        <v>413</v>
      </c>
      <c r="P117">
        <v>0</v>
      </c>
      <c r="Q117">
        <v>320</v>
      </c>
      <c r="R117">
        <v>619</v>
      </c>
    </row>
    <row r="118" spans="1:18" x14ac:dyDescent="0.35">
      <c r="A118" s="3">
        <v>38231</v>
      </c>
      <c r="B118" s="4">
        <f t="shared" si="2"/>
        <v>9</v>
      </c>
      <c r="C118" s="4">
        <f t="shared" si="3"/>
        <v>2004</v>
      </c>
      <c r="D118">
        <v>1586.8407</v>
      </c>
      <c r="E118">
        <v>152.2337</v>
      </c>
      <c r="F118">
        <v>0</v>
      </c>
      <c r="G118">
        <v>1424.1306</v>
      </c>
      <c r="H118">
        <v>10.4765</v>
      </c>
      <c r="I118">
        <v>4806.9459999999999</v>
      </c>
      <c r="J118">
        <v>355.863</v>
      </c>
      <c r="K118">
        <v>0</v>
      </c>
      <c r="L118">
        <v>4437.9049999999997</v>
      </c>
      <c r="M118">
        <v>13.178000000000001</v>
      </c>
      <c r="N118">
        <v>330</v>
      </c>
      <c r="O118">
        <v>428</v>
      </c>
      <c r="P118">
        <v>0</v>
      </c>
      <c r="Q118">
        <v>321</v>
      </c>
      <c r="R118">
        <v>795</v>
      </c>
    </row>
    <row r="119" spans="1:18" x14ac:dyDescent="0.35">
      <c r="A119" s="3">
        <v>38261</v>
      </c>
      <c r="B119" s="4">
        <f t="shared" si="2"/>
        <v>10</v>
      </c>
      <c r="C119" s="4">
        <f t="shared" si="3"/>
        <v>2004</v>
      </c>
      <c r="D119">
        <v>1529.9476999999999</v>
      </c>
      <c r="E119">
        <v>152.42910000000001</v>
      </c>
      <c r="F119">
        <v>0</v>
      </c>
      <c r="G119">
        <v>1361.5532000000001</v>
      </c>
      <c r="H119">
        <v>15.965400000000001</v>
      </c>
      <c r="I119">
        <v>4744.8689999999997</v>
      </c>
      <c r="J119">
        <v>362.774</v>
      </c>
      <c r="K119">
        <v>0</v>
      </c>
      <c r="L119">
        <v>4357.9780000000001</v>
      </c>
      <c r="M119">
        <v>24.117000000000001</v>
      </c>
      <c r="N119">
        <v>322</v>
      </c>
      <c r="O119">
        <v>420</v>
      </c>
      <c r="P119">
        <v>0</v>
      </c>
      <c r="Q119">
        <v>312</v>
      </c>
      <c r="R119">
        <v>662</v>
      </c>
    </row>
    <row r="120" spans="1:18" x14ac:dyDescent="0.35">
      <c r="A120" s="3">
        <v>38292</v>
      </c>
      <c r="B120" s="4">
        <f t="shared" si="2"/>
        <v>11</v>
      </c>
      <c r="C120" s="4">
        <f t="shared" si="3"/>
        <v>2004</v>
      </c>
      <c r="D120">
        <v>1506.1643999999999</v>
      </c>
      <c r="E120">
        <v>143.4161</v>
      </c>
      <c r="F120">
        <v>0</v>
      </c>
      <c r="G120">
        <v>1346.7829999999999</v>
      </c>
      <c r="H120">
        <v>15.965400000000001</v>
      </c>
      <c r="I120">
        <v>4666.32</v>
      </c>
      <c r="J120">
        <v>329.70600000000002</v>
      </c>
      <c r="K120">
        <v>0</v>
      </c>
      <c r="L120">
        <v>4312.4970000000003</v>
      </c>
      <c r="M120">
        <v>24.117000000000001</v>
      </c>
      <c r="N120">
        <v>323</v>
      </c>
      <c r="O120">
        <v>435</v>
      </c>
      <c r="P120">
        <v>0</v>
      </c>
      <c r="Q120">
        <v>312</v>
      </c>
      <c r="R120">
        <v>662</v>
      </c>
    </row>
    <row r="121" spans="1:18" x14ac:dyDescent="0.35">
      <c r="A121" s="3">
        <v>38322</v>
      </c>
      <c r="B121" s="4">
        <f t="shared" si="2"/>
        <v>12</v>
      </c>
      <c r="C121" s="4">
        <f t="shared" si="3"/>
        <v>2004</v>
      </c>
      <c r="D121">
        <v>1565.1123</v>
      </c>
      <c r="E121">
        <v>164.9872</v>
      </c>
      <c r="F121">
        <v>0</v>
      </c>
      <c r="G121">
        <v>1324.9250999999999</v>
      </c>
      <c r="H121">
        <v>75.2</v>
      </c>
      <c r="I121">
        <v>5077.7749999999996</v>
      </c>
      <c r="J121">
        <v>398.98899999999998</v>
      </c>
      <c r="K121">
        <v>0</v>
      </c>
      <c r="L121">
        <v>4569.0050000000001</v>
      </c>
      <c r="M121">
        <v>109.78100000000001</v>
      </c>
      <c r="N121">
        <v>308</v>
      </c>
      <c r="O121">
        <v>414</v>
      </c>
      <c r="P121">
        <v>0</v>
      </c>
      <c r="Q121">
        <v>290</v>
      </c>
      <c r="R121">
        <v>685</v>
      </c>
    </row>
    <row r="122" spans="1:18" x14ac:dyDescent="0.35">
      <c r="A122" s="3">
        <v>38353</v>
      </c>
      <c r="B122" s="4">
        <f t="shared" si="2"/>
        <v>1</v>
      </c>
      <c r="C122" s="4">
        <f t="shared" si="3"/>
        <v>2005</v>
      </c>
      <c r="D122">
        <v>1367.5563</v>
      </c>
      <c r="E122">
        <v>142.81809999999999</v>
      </c>
      <c r="F122">
        <v>0</v>
      </c>
      <c r="G122">
        <v>1209.7138</v>
      </c>
      <c r="H122">
        <v>15.0244</v>
      </c>
      <c r="I122">
        <v>4292.1450000000004</v>
      </c>
      <c r="J122">
        <v>331.01900000000001</v>
      </c>
      <c r="K122">
        <v>0</v>
      </c>
      <c r="L122">
        <v>3943.7370000000001</v>
      </c>
      <c r="M122">
        <v>17.388999999999999</v>
      </c>
      <c r="N122">
        <v>319</v>
      </c>
      <c r="O122">
        <v>431</v>
      </c>
      <c r="P122">
        <v>0</v>
      </c>
      <c r="Q122">
        <v>307</v>
      </c>
      <c r="R122">
        <v>864</v>
      </c>
    </row>
    <row r="123" spans="1:18" x14ac:dyDescent="0.35">
      <c r="A123" s="3">
        <v>38384</v>
      </c>
      <c r="B123" s="4">
        <f t="shared" si="2"/>
        <v>2</v>
      </c>
      <c r="C123" s="4">
        <f t="shared" si="3"/>
        <v>2005</v>
      </c>
      <c r="D123">
        <v>1428.377</v>
      </c>
      <c r="E123">
        <v>125.91540000000001</v>
      </c>
      <c r="F123">
        <v>0</v>
      </c>
      <c r="G123">
        <v>1280.4639</v>
      </c>
      <c r="H123">
        <v>21.997699999999998</v>
      </c>
      <c r="I123">
        <v>4426.62</v>
      </c>
      <c r="J123">
        <v>298.15899999999999</v>
      </c>
      <c r="K123">
        <v>0</v>
      </c>
      <c r="L123">
        <v>4100.1859999999997</v>
      </c>
      <c r="M123">
        <v>28.274999999999999</v>
      </c>
      <c r="N123">
        <v>323</v>
      </c>
      <c r="O123">
        <v>422</v>
      </c>
      <c r="P123">
        <v>0</v>
      </c>
      <c r="Q123">
        <v>312</v>
      </c>
      <c r="R123">
        <v>778</v>
      </c>
    </row>
    <row r="124" spans="1:18" x14ac:dyDescent="0.35">
      <c r="A124" s="3">
        <v>38412</v>
      </c>
      <c r="B124" s="4">
        <f t="shared" si="2"/>
        <v>3</v>
      </c>
      <c r="C124" s="4">
        <f t="shared" si="3"/>
        <v>2005</v>
      </c>
      <c r="D124">
        <v>1691.5896</v>
      </c>
      <c r="E124">
        <v>152.36670000000001</v>
      </c>
      <c r="F124">
        <v>0</v>
      </c>
      <c r="G124">
        <v>1526.0637999999999</v>
      </c>
      <c r="H124">
        <v>13.1591</v>
      </c>
      <c r="I124">
        <v>5128.2020000000002</v>
      </c>
      <c r="J124">
        <v>358.27600000000001</v>
      </c>
      <c r="K124">
        <v>0</v>
      </c>
      <c r="L124">
        <v>4752.6570000000002</v>
      </c>
      <c r="M124">
        <v>17.268999999999998</v>
      </c>
      <c r="N124">
        <v>330</v>
      </c>
      <c r="O124">
        <v>425</v>
      </c>
      <c r="P124">
        <v>0</v>
      </c>
      <c r="Q124">
        <v>321</v>
      </c>
      <c r="R124">
        <v>762</v>
      </c>
    </row>
    <row r="125" spans="1:18" x14ac:dyDescent="0.35">
      <c r="A125" s="3">
        <v>38443</v>
      </c>
      <c r="B125" s="4">
        <f t="shared" si="2"/>
        <v>4</v>
      </c>
      <c r="C125" s="4">
        <f t="shared" si="3"/>
        <v>2005</v>
      </c>
      <c r="D125">
        <v>1753.3032000000001</v>
      </c>
      <c r="E125">
        <v>141.43950000000001</v>
      </c>
      <c r="F125">
        <v>0</v>
      </c>
      <c r="G125">
        <v>1589.6896999999999</v>
      </c>
      <c r="H125">
        <v>22.173999999999999</v>
      </c>
      <c r="I125">
        <v>5229.634</v>
      </c>
      <c r="J125">
        <v>326.74599999999998</v>
      </c>
      <c r="K125">
        <v>0</v>
      </c>
      <c r="L125">
        <v>4874.8549999999996</v>
      </c>
      <c r="M125">
        <v>28.033000000000001</v>
      </c>
      <c r="N125">
        <v>335</v>
      </c>
      <c r="O125">
        <v>433</v>
      </c>
      <c r="P125">
        <v>0</v>
      </c>
      <c r="Q125">
        <v>326</v>
      </c>
      <c r="R125">
        <v>791</v>
      </c>
    </row>
    <row r="126" spans="1:18" x14ac:dyDescent="0.35">
      <c r="A126" s="3">
        <v>38473</v>
      </c>
      <c r="B126" s="4">
        <f t="shared" si="2"/>
        <v>5</v>
      </c>
      <c r="C126" s="4">
        <f t="shared" si="3"/>
        <v>2005</v>
      </c>
      <c r="D126">
        <v>2057.2773000000002</v>
      </c>
      <c r="E126">
        <v>158.3554</v>
      </c>
      <c r="F126">
        <v>0</v>
      </c>
      <c r="G126">
        <v>1883.4695999999999</v>
      </c>
      <c r="H126">
        <v>15.452299999999999</v>
      </c>
      <c r="I126">
        <v>6365.6310000000003</v>
      </c>
      <c r="J126">
        <v>407.27</v>
      </c>
      <c r="K126">
        <v>0</v>
      </c>
      <c r="L126">
        <v>5939.3779999999997</v>
      </c>
      <c r="M126">
        <v>18.983000000000001</v>
      </c>
      <c r="N126">
        <v>323</v>
      </c>
      <c r="O126">
        <v>389</v>
      </c>
      <c r="P126">
        <v>0</v>
      </c>
      <c r="Q126">
        <v>317</v>
      </c>
      <c r="R126">
        <v>814</v>
      </c>
    </row>
    <row r="127" spans="1:18" x14ac:dyDescent="0.35">
      <c r="A127" s="3">
        <v>38504</v>
      </c>
      <c r="B127" s="4">
        <f t="shared" si="2"/>
        <v>6</v>
      </c>
      <c r="C127" s="4">
        <f t="shared" si="3"/>
        <v>2005</v>
      </c>
      <c r="D127">
        <v>1923.2801999999999</v>
      </c>
      <c r="E127">
        <v>155.83869999999999</v>
      </c>
      <c r="F127">
        <v>0</v>
      </c>
      <c r="G127">
        <v>1755.4413999999999</v>
      </c>
      <c r="H127">
        <v>12</v>
      </c>
      <c r="I127">
        <v>5702.299</v>
      </c>
      <c r="J127">
        <v>361.74200000000002</v>
      </c>
      <c r="K127">
        <v>0</v>
      </c>
      <c r="L127">
        <v>5325.1719999999996</v>
      </c>
      <c r="M127">
        <v>15.385</v>
      </c>
      <c r="N127">
        <v>337</v>
      </c>
      <c r="O127">
        <v>431</v>
      </c>
      <c r="P127">
        <v>0</v>
      </c>
      <c r="Q127">
        <v>330</v>
      </c>
      <c r="R127">
        <v>780</v>
      </c>
    </row>
    <row r="128" spans="1:18" x14ac:dyDescent="0.35">
      <c r="A128" s="3">
        <v>38534</v>
      </c>
      <c r="B128" s="4">
        <f t="shared" si="2"/>
        <v>7</v>
      </c>
      <c r="C128" s="4">
        <f t="shared" si="3"/>
        <v>2005</v>
      </c>
      <c r="D128">
        <v>1840.3006</v>
      </c>
      <c r="E128">
        <v>144.9324</v>
      </c>
      <c r="F128">
        <v>0</v>
      </c>
      <c r="G128">
        <v>1675.3683000000001</v>
      </c>
      <c r="H128">
        <v>20</v>
      </c>
      <c r="I128">
        <v>5362.1540000000005</v>
      </c>
      <c r="J128">
        <v>322.87799999999999</v>
      </c>
      <c r="K128">
        <v>0</v>
      </c>
      <c r="L128">
        <v>5013.96</v>
      </c>
      <c r="M128">
        <v>25.315999999999999</v>
      </c>
      <c r="N128">
        <v>343</v>
      </c>
      <c r="O128">
        <v>449</v>
      </c>
      <c r="P128">
        <v>0</v>
      </c>
      <c r="Q128">
        <v>334</v>
      </c>
      <c r="R128">
        <v>790</v>
      </c>
    </row>
    <row r="129" spans="1:18" x14ac:dyDescent="0.35">
      <c r="A129" s="3">
        <v>38565</v>
      </c>
      <c r="B129" s="4">
        <f t="shared" si="2"/>
        <v>8</v>
      </c>
      <c r="C129" s="4">
        <f t="shared" si="3"/>
        <v>2005</v>
      </c>
      <c r="D129">
        <v>2059.2229000000002</v>
      </c>
      <c r="E129">
        <v>160.1523</v>
      </c>
      <c r="F129">
        <v>0</v>
      </c>
      <c r="G129">
        <v>1878.6063999999999</v>
      </c>
      <c r="H129">
        <v>20.464200000000002</v>
      </c>
      <c r="I129">
        <v>5937.0029999999997</v>
      </c>
      <c r="J129">
        <v>363.42500000000001</v>
      </c>
      <c r="K129">
        <v>0</v>
      </c>
      <c r="L129">
        <v>5548.6949999999997</v>
      </c>
      <c r="M129">
        <v>24.882999999999999</v>
      </c>
      <c r="N129">
        <v>347</v>
      </c>
      <c r="O129">
        <v>441</v>
      </c>
      <c r="P129">
        <v>0</v>
      </c>
      <c r="Q129">
        <v>339</v>
      </c>
      <c r="R129">
        <v>822</v>
      </c>
    </row>
    <row r="130" spans="1:18" x14ac:dyDescent="0.35">
      <c r="A130" s="3">
        <v>38596</v>
      </c>
      <c r="B130" s="4">
        <f t="shared" si="2"/>
        <v>9</v>
      </c>
      <c r="C130" s="4">
        <f t="shared" si="3"/>
        <v>2005</v>
      </c>
      <c r="D130">
        <v>1885.9905000000001</v>
      </c>
      <c r="E130">
        <v>138.2636</v>
      </c>
      <c r="F130">
        <v>0</v>
      </c>
      <c r="G130">
        <v>1732.8538000000001</v>
      </c>
      <c r="H130">
        <v>14.873100000000001</v>
      </c>
      <c r="I130">
        <v>5580.0029999999997</v>
      </c>
      <c r="J130">
        <v>365.42700000000002</v>
      </c>
      <c r="K130">
        <v>0</v>
      </c>
      <c r="L130">
        <v>5195.9380000000001</v>
      </c>
      <c r="M130">
        <v>18.638000000000002</v>
      </c>
      <c r="N130">
        <v>338</v>
      </c>
      <c r="O130">
        <v>378</v>
      </c>
      <c r="P130">
        <v>0</v>
      </c>
      <c r="Q130">
        <v>334</v>
      </c>
      <c r="R130">
        <v>798</v>
      </c>
    </row>
    <row r="131" spans="1:18" x14ac:dyDescent="0.35">
      <c r="A131" s="3">
        <v>38626</v>
      </c>
      <c r="B131" s="4">
        <f t="shared" ref="B131:B194" si="4">MONTH(A131)</f>
        <v>10</v>
      </c>
      <c r="C131" s="4">
        <f t="shared" ref="C131:C194" si="5">YEAR(A131)</f>
        <v>2005</v>
      </c>
      <c r="D131">
        <v>1862.2775999999999</v>
      </c>
      <c r="E131">
        <v>135.23400000000001</v>
      </c>
      <c r="F131">
        <v>0</v>
      </c>
      <c r="G131">
        <v>1710.8652</v>
      </c>
      <c r="H131">
        <v>16.1784</v>
      </c>
      <c r="I131">
        <v>5512.9769999999999</v>
      </c>
      <c r="J131">
        <v>299.57</v>
      </c>
      <c r="K131">
        <v>0</v>
      </c>
      <c r="L131">
        <v>5192.3770000000004</v>
      </c>
      <c r="M131">
        <v>21.03</v>
      </c>
      <c r="N131">
        <v>338</v>
      </c>
      <c r="O131">
        <v>451</v>
      </c>
      <c r="P131">
        <v>0</v>
      </c>
      <c r="Q131">
        <v>329</v>
      </c>
      <c r="R131">
        <v>769</v>
      </c>
    </row>
    <row r="132" spans="1:18" x14ac:dyDescent="0.35">
      <c r="A132" s="3">
        <v>38657</v>
      </c>
      <c r="B132" s="4">
        <f t="shared" si="4"/>
        <v>11</v>
      </c>
      <c r="C132" s="4">
        <f t="shared" si="5"/>
        <v>2005</v>
      </c>
      <c r="D132">
        <v>1886.9538</v>
      </c>
      <c r="E132">
        <v>130.09110000000001</v>
      </c>
      <c r="F132">
        <v>0</v>
      </c>
      <c r="G132">
        <v>1736.0231000000001</v>
      </c>
      <c r="H132">
        <v>20.839700000000001</v>
      </c>
      <c r="I132">
        <v>5542.2039999999997</v>
      </c>
      <c r="J132">
        <v>281.78300000000002</v>
      </c>
      <c r="K132">
        <v>0</v>
      </c>
      <c r="L132">
        <v>5232.598</v>
      </c>
      <c r="M132">
        <v>27.823</v>
      </c>
      <c r="N132">
        <v>340</v>
      </c>
      <c r="O132">
        <v>462</v>
      </c>
      <c r="P132">
        <v>0</v>
      </c>
      <c r="Q132">
        <v>332</v>
      </c>
      <c r="R132">
        <v>749</v>
      </c>
    </row>
    <row r="133" spans="1:18" x14ac:dyDescent="0.35">
      <c r="A133" s="3">
        <v>38687</v>
      </c>
      <c r="B133" s="4">
        <f t="shared" si="4"/>
        <v>12</v>
      </c>
      <c r="C133" s="4">
        <f t="shared" si="5"/>
        <v>2005</v>
      </c>
      <c r="D133">
        <v>1932.1420000000001</v>
      </c>
      <c r="E133">
        <v>162.46100000000001</v>
      </c>
      <c r="F133">
        <v>0</v>
      </c>
      <c r="G133">
        <v>1688.681</v>
      </c>
      <c r="H133">
        <v>81</v>
      </c>
      <c r="I133">
        <v>5842.8280000000004</v>
      </c>
      <c r="J133">
        <v>350.61200000000002</v>
      </c>
      <c r="K133">
        <v>0</v>
      </c>
      <c r="L133">
        <v>5389.8140000000003</v>
      </c>
      <c r="M133">
        <v>102.402</v>
      </c>
      <c r="N133">
        <v>331</v>
      </c>
      <c r="O133">
        <v>463</v>
      </c>
      <c r="P133">
        <v>0</v>
      </c>
      <c r="Q133">
        <v>313</v>
      </c>
      <c r="R133">
        <v>791</v>
      </c>
    </row>
    <row r="134" spans="1:18" x14ac:dyDescent="0.35">
      <c r="A134" s="3">
        <v>38718</v>
      </c>
      <c r="B134" s="4">
        <f t="shared" si="4"/>
        <v>1</v>
      </c>
      <c r="C134" s="4">
        <f t="shared" si="5"/>
        <v>2006</v>
      </c>
      <c r="D134">
        <v>1758.3056999999999</v>
      </c>
      <c r="E134">
        <v>130.1507</v>
      </c>
      <c r="F134">
        <v>0</v>
      </c>
      <c r="G134">
        <v>1611.0556999999999</v>
      </c>
      <c r="H134">
        <v>17.099299999999999</v>
      </c>
      <c r="I134">
        <v>5293.97</v>
      </c>
      <c r="J134">
        <v>283.77300000000002</v>
      </c>
      <c r="K134">
        <v>0</v>
      </c>
      <c r="L134">
        <v>4990.76</v>
      </c>
      <c r="M134">
        <v>19.437000000000001</v>
      </c>
      <c r="N134">
        <v>332</v>
      </c>
      <c r="O134">
        <v>459</v>
      </c>
      <c r="P134">
        <v>0</v>
      </c>
      <c r="Q134">
        <v>323</v>
      </c>
      <c r="R134">
        <v>880</v>
      </c>
    </row>
    <row r="135" spans="1:18" x14ac:dyDescent="0.35">
      <c r="A135" s="3">
        <v>38749</v>
      </c>
      <c r="B135" s="4">
        <f t="shared" si="4"/>
        <v>2</v>
      </c>
      <c r="C135" s="4">
        <f t="shared" si="5"/>
        <v>2006</v>
      </c>
      <c r="D135">
        <v>1823.1898000000001</v>
      </c>
      <c r="E135">
        <v>108.7512</v>
      </c>
      <c r="F135">
        <v>0</v>
      </c>
      <c r="G135">
        <v>1699.2707</v>
      </c>
      <c r="H135">
        <v>15.1678</v>
      </c>
      <c r="I135">
        <v>5364.6480000000001</v>
      </c>
      <c r="J135">
        <v>233.65700000000001</v>
      </c>
      <c r="K135">
        <v>0</v>
      </c>
      <c r="L135">
        <v>5111.0209999999997</v>
      </c>
      <c r="M135">
        <v>19.97</v>
      </c>
      <c r="N135">
        <v>340</v>
      </c>
      <c r="O135">
        <v>465</v>
      </c>
      <c r="P135">
        <v>0</v>
      </c>
      <c r="Q135">
        <v>332</v>
      </c>
      <c r="R135">
        <v>760</v>
      </c>
    </row>
    <row r="136" spans="1:18" x14ac:dyDescent="0.35">
      <c r="A136" s="3">
        <v>38777</v>
      </c>
      <c r="B136" s="4">
        <f t="shared" si="4"/>
        <v>3</v>
      </c>
      <c r="C136" s="4">
        <f t="shared" si="5"/>
        <v>2006</v>
      </c>
      <c r="D136">
        <v>2152.8362000000002</v>
      </c>
      <c r="E136">
        <v>130.60419999999999</v>
      </c>
      <c r="F136">
        <v>0</v>
      </c>
      <c r="G136">
        <v>2005.3921</v>
      </c>
      <c r="H136">
        <v>16.84</v>
      </c>
      <c r="I136">
        <v>6155.674</v>
      </c>
      <c r="J136">
        <v>294.96699999999998</v>
      </c>
      <c r="K136">
        <v>0</v>
      </c>
      <c r="L136">
        <v>5838.9139999999998</v>
      </c>
      <c r="M136">
        <v>21.792999999999999</v>
      </c>
      <c r="N136">
        <v>350</v>
      </c>
      <c r="O136">
        <v>443</v>
      </c>
      <c r="P136">
        <v>0</v>
      </c>
      <c r="Q136">
        <v>343</v>
      </c>
      <c r="R136">
        <v>773</v>
      </c>
    </row>
    <row r="137" spans="1:18" x14ac:dyDescent="0.35">
      <c r="A137" s="3">
        <v>38808</v>
      </c>
      <c r="B137" s="4">
        <f t="shared" si="4"/>
        <v>4</v>
      </c>
      <c r="C137" s="4">
        <f t="shared" si="5"/>
        <v>2006</v>
      </c>
      <c r="D137">
        <v>2072.7017000000001</v>
      </c>
      <c r="E137">
        <v>100.9622</v>
      </c>
      <c r="F137">
        <v>0</v>
      </c>
      <c r="G137">
        <v>1952.6704</v>
      </c>
      <c r="H137">
        <v>19.069099999999999</v>
      </c>
      <c r="I137">
        <v>5935.558</v>
      </c>
      <c r="J137">
        <v>219.184</v>
      </c>
      <c r="K137">
        <v>0</v>
      </c>
      <c r="L137">
        <v>5690.2839999999997</v>
      </c>
      <c r="M137">
        <v>26.09</v>
      </c>
      <c r="N137">
        <v>349</v>
      </c>
      <c r="O137">
        <v>461</v>
      </c>
      <c r="P137">
        <v>0</v>
      </c>
      <c r="Q137">
        <v>343</v>
      </c>
      <c r="R137">
        <v>731</v>
      </c>
    </row>
    <row r="138" spans="1:18" x14ac:dyDescent="0.35">
      <c r="A138" s="3">
        <v>38838</v>
      </c>
      <c r="B138" s="4">
        <f t="shared" si="4"/>
        <v>5</v>
      </c>
      <c r="C138" s="4">
        <f t="shared" si="5"/>
        <v>2006</v>
      </c>
      <c r="D138">
        <v>2534.5990000000002</v>
      </c>
      <c r="E138">
        <v>127.9127</v>
      </c>
      <c r="F138">
        <v>0</v>
      </c>
      <c r="G138">
        <v>2365.5198999999998</v>
      </c>
      <c r="H138">
        <v>41.166499999999999</v>
      </c>
      <c r="I138">
        <v>7286.61</v>
      </c>
      <c r="J138">
        <v>286.68299999999999</v>
      </c>
      <c r="K138">
        <v>0</v>
      </c>
      <c r="L138">
        <v>6933.1149999999998</v>
      </c>
      <c r="M138">
        <v>66.811999999999998</v>
      </c>
      <c r="N138">
        <v>348</v>
      </c>
      <c r="O138">
        <v>446</v>
      </c>
      <c r="P138">
        <v>0</v>
      </c>
      <c r="Q138">
        <v>341</v>
      </c>
      <c r="R138">
        <v>616</v>
      </c>
    </row>
    <row r="139" spans="1:18" x14ac:dyDescent="0.35">
      <c r="A139" s="3">
        <v>38869</v>
      </c>
      <c r="B139" s="4">
        <f t="shared" si="4"/>
        <v>6</v>
      </c>
      <c r="C139" s="4">
        <f t="shared" si="5"/>
        <v>2006</v>
      </c>
      <c r="D139">
        <v>2340.2622999999999</v>
      </c>
      <c r="E139">
        <v>120.89830000000001</v>
      </c>
      <c r="F139">
        <v>0</v>
      </c>
      <c r="G139">
        <v>2186.3497000000002</v>
      </c>
      <c r="H139">
        <v>33.014299999999999</v>
      </c>
      <c r="I139">
        <v>6629.665</v>
      </c>
      <c r="J139">
        <v>267.05200000000002</v>
      </c>
      <c r="K139">
        <v>0</v>
      </c>
      <c r="L139">
        <v>6293.4960000000001</v>
      </c>
      <c r="M139">
        <v>69.117000000000004</v>
      </c>
      <c r="N139">
        <v>353</v>
      </c>
      <c r="O139">
        <v>453</v>
      </c>
      <c r="P139">
        <v>0</v>
      </c>
      <c r="Q139">
        <v>347</v>
      </c>
      <c r="R139">
        <v>478</v>
      </c>
    </row>
    <row r="140" spans="1:18" x14ac:dyDescent="0.35">
      <c r="A140" s="3">
        <v>38899</v>
      </c>
      <c r="B140" s="4">
        <f t="shared" si="4"/>
        <v>7</v>
      </c>
      <c r="C140" s="4">
        <f t="shared" si="5"/>
        <v>2006</v>
      </c>
      <c r="D140">
        <v>2191.6469000000002</v>
      </c>
      <c r="E140">
        <v>106.0077</v>
      </c>
      <c r="F140">
        <v>0</v>
      </c>
      <c r="G140">
        <v>2045.4146000000001</v>
      </c>
      <c r="H140">
        <v>40.224699999999999</v>
      </c>
      <c r="I140">
        <v>6312.8670000000002</v>
      </c>
      <c r="J140">
        <v>229.15700000000001</v>
      </c>
      <c r="K140">
        <v>0</v>
      </c>
      <c r="L140">
        <v>6006.21</v>
      </c>
      <c r="M140">
        <v>77.5</v>
      </c>
      <c r="N140">
        <v>347</v>
      </c>
      <c r="O140">
        <v>463</v>
      </c>
      <c r="P140">
        <v>0</v>
      </c>
      <c r="Q140">
        <v>341</v>
      </c>
      <c r="R140">
        <v>519</v>
      </c>
    </row>
    <row r="141" spans="1:18" x14ac:dyDescent="0.35">
      <c r="A141" s="3">
        <v>38930</v>
      </c>
      <c r="B141" s="4">
        <f t="shared" si="4"/>
        <v>8</v>
      </c>
      <c r="C141" s="4">
        <f t="shared" si="5"/>
        <v>2006</v>
      </c>
      <c r="D141">
        <v>2334.2835</v>
      </c>
      <c r="E141">
        <v>112.337</v>
      </c>
      <c r="F141">
        <v>0</v>
      </c>
      <c r="G141">
        <v>2191.5940000000001</v>
      </c>
      <c r="H141">
        <v>30.352399999999999</v>
      </c>
      <c r="I141">
        <v>6624.7160000000003</v>
      </c>
      <c r="J141">
        <v>231.22200000000001</v>
      </c>
      <c r="K141">
        <v>0</v>
      </c>
      <c r="L141">
        <v>6338.8360000000002</v>
      </c>
      <c r="M141">
        <v>54.658000000000001</v>
      </c>
      <c r="N141">
        <v>352</v>
      </c>
      <c r="O141">
        <v>486</v>
      </c>
      <c r="P141">
        <v>0</v>
      </c>
      <c r="Q141">
        <v>346</v>
      </c>
      <c r="R141">
        <v>555</v>
      </c>
    </row>
    <row r="142" spans="1:18" x14ac:dyDescent="0.35">
      <c r="A142" s="3">
        <v>38961</v>
      </c>
      <c r="B142" s="4">
        <f t="shared" si="4"/>
        <v>9</v>
      </c>
      <c r="C142" s="4">
        <f t="shared" si="5"/>
        <v>2006</v>
      </c>
      <c r="D142">
        <v>2140.9585999999999</v>
      </c>
      <c r="E142">
        <v>98.633700000000005</v>
      </c>
      <c r="F142">
        <v>0</v>
      </c>
      <c r="G142">
        <v>2017.6445000000001</v>
      </c>
      <c r="H142">
        <v>24.680399999999999</v>
      </c>
      <c r="I142">
        <v>6186.951</v>
      </c>
      <c r="J142">
        <v>205.44300000000001</v>
      </c>
      <c r="K142">
        <v>0</v>
      </c>
      <c r="L142">
        <v>5931.7089999999998</v>
      </c>
      <c r="M142">
        <v>49.798999999999999</v>
      </c>
      <c r="N142">
        <v>346</v>
      </c>
      <c r="O142">
        <v>480</v>
      </c>
      <c r="P142">
        <v>0</v>
      </c>
      <c r="Q142">
        <v>340</v>
      </c>
      <c r="R142">
        <v>496</v>
      </c>
    </row>
    <row r="143" spans="1:18" x14ac:dyDescent="0.35">
      <c r="A143" s="3">
        <v>38991</v>
      </c>
      <c r="B143" s="4">
        <f t="shared" si="4"/>
        <v>10</v>
      </c>
      <c r="C143" s="4">
        <f t="shared" si="5"/>
        <v>2006</v>
      </c>
      <c r="D143">
        <v>2316.5243999999998</v>
      </c>
      <c r="E143">
        <v>120.2124</v>
      </c>
      <c r="F143">
        <v>0</v>
      </c>
      <c r="G143">
        <v>2167.1559999999999</v>
      </c>
      <c r="H143">
        <v>29.155999999999999</v>
      </c>
      <c r="I143">
        <v>6757.4390000000003</v>
      </c>
      <c r="J143">
        <v>219.12899999999999</v>
      </c>
      <c r="K143">
        <v>0</v>
      </c>
      <c r="L143">
        <v>6482.5720000000001</v>
      </c>
      <c r="M143">
        <v>55.738</v>
      </c>
      <c r="N143">
        <v>343</v>
      </c>
      <c r="O143">
        <v>549</v>
      </c>
      <c r="P143">
        <v>0</v>
      </c>
      <c r="Q143">
        <v>334</v>
      </c>
      <c r="R143">
        <v>523</v>
      </c>
    </row>
    <row r="144" spans="1:18" x14ac:dyDescent="0.35">
      <c r="A144" s="3">
        <v>39022</v>
      </c>
      <c r="B144" s="4">
        <f t="shared" si="4"/>
        <v>11</v>
      </c>
      <c r="C144" s="4">
        <f t="shared" si="5"/>
        <v>2006</v>
      </c>
      <c r="D144">
        <v>1962.8019999999999</v>
      </c>
      <c r="E144">
        <v>98.956599999999995</v>
      </c>
      <c r="F144">
        <v>0</v>
      </c>
      <c r="G144">
        <v>1835.5853</v>
      </c>
      <c r="H144">
        <v>28.260100000000001</v>
      </c>
      <c r="I144">
        <v>5726.0630000000001</v>
      </c>
      <c r="J144">
        <v>185.38900000000001</v>
      </c>
      <c r="K144">
        <v>0</v>
      </c>
      <c r="L144">
        <v>5479.22</v>
      </c>
      <c r="M144">
        <v>61.454000000000001</v>
      </c>
      <c r="N144">
        <v>343</v>
      </c>
      <c r="O144">
        <v>534</v>
      </c>
      <c r="P144">
        <v>0</v>
      </c>
      <c r="Q144">
        <v>335</v>
      </c>
      <c r="R144">
        <v>460</v>
      </c>
    </row>
    <row r="145" spans="1:18" x14ac:dyDescent="0.35">
      <c r="A145" s="3">
        <v>39052</v>
      </c>
      <c r="B145" s="4">
        <f t="shared" si="4"/>
        <v>12</v>
      </c>
      <c r="C145" s="4">
        <f t="shared" si="5"/>
        <v>2006</v>
      </c>
      <c r="D145">
        <v>1938.7248999999999</v>
      </c>
      <c r="E145">
        <v>104.28019999999999</v>
      </c>
      <c r="F145">
        <v>0</v>
      </c>
      <c r="G145">
        <v>1776.3068000000001</v>
      </c>
      <c r="H145">
        <v>58.137999999999998</v>
      </c>
      <c r="I145">
        <v>5910.4470000000001</v>
      </c>
      <c r="J145">
        <v>188.96199999999999</v>
      </c>
      <c r="K145">
        <v>0</v>
      </c>
      <c r="L145">
        <v>5601.55</v>
      </c>
      <c r="M145">
        <v>119.935</v>
      </c>
      <c r="N145">
        <v>328</v>
      </c>
      <c r="O145">
        <v>552</v>
      </c>
      <c r="P145">
        <v>0</v>
      </c>
      <c r="Q145">
        <v>317</v>
      </c>
      <c r="R145">
        <v>485</v>
      </c>
    </row>
    <row r="146" spans="1:18" x14ac:dyDescent="0.35">
      <c r="A146" s="3">
        <v>39083</v>
      </c>
      <c r="B146" s="4">
        <f t="shared" si="4"/>
        <v>1</v>
      </c>
      <c r="C146" s="4">
        <f t="shared" si="5"/>
        <v>2007</v>
      </c>
      <c r="D146">
        <v>1872.9292</v>
      </c>
      <c r="E146">
        <v>102.7903</v>
      </c>
      <c r="F146">
        <v>0</v>
      </c>
      <c r="G146">
        <v>1733.3217</v>
      </c>
      <c r="H146">
        <v>36.8172</v>
      </c>
      <c r="I146">
        <v>5573.1220000000003</v>
      </c>
      <c r="J146">
        <v>187.77600000000001</v>
      </c>
      <c r="K146">
        <v>0</v>
      </c>
      <c r="L146">
        <v>5322.4740000000002</v>
      </c>
      <c r="M146">
        <v>62.872</v>
      </c>
      <c r="N146">
        <v>336</v>
      </c>
      <c r="O146">
        <v>547</v>
      </c>
      <c r="P146">
        <v>0</v>
      </c>
      <c r="Q146">
        <v>326</v>
      </c>
      <c r="R146">
        <v>586</v>
      </c>
    </row>
    <row r="147" spans="1:18" x14ac:dyDescent="0.35">
      <c r="A147" s="3">
        <v>39114</v>
      </c>
      <c r="B147" s="4">
        <f t="shared" si="4"/>
        <v>2</v>
      </c>
      <c r="C147" s="4">
        <f t="shared" si="5"/>
        <v>2007</v>
      </c>
      <c r="D147">
        <v>1856.7782</v>
      </c>
      <c r="E147">
        <v>81.265900000000002</v>
      </c>
      <c r="F147">
        <v>0</v>
      </c>
      <c r="G147">
        <v>1751.3013000000001</v>
      </c>
      <c r="H147">
        <v>24.210999999999999</v>
      </c>
      <c r="I147">
        <v>5450.3519999999999</v>
      </c>
      <c r="J147">
        <v>143.06100000000001</v>
      </c>
      <c r="K147">
        <v>0</v>
      </c>
      <c r="L147">
        <v>5260.6710000000003</v>
      </c>
      <c r="M147">
        <v>46.62</v>
      </c>
      <c r="N147">
        <v>341</v>
      </c>
      <c r="O147">
        <v>568</v>
      </c>
      <c r="P147">
        <v>0</v>
      </c>
      <c r="Q147">
        <v>333</v>
      </c>
      <c r="R147">
        <v>519</v>
      </c>
    </row>
    <row r="148" spans="1:18" x14ac:dyDescent="0.35">
      <c r="A148" s="3">
        <v>39142</v>
      </c>
      <c r="B148" s="4">
        <f t="shared" si="4"/>
        <v>3</v>
      </c>
      <c r="C148" s="4">
        <f t="shared" si="5"/>
        <v>2007</v>
      </c>
      <c r="D148">
        <v>2186.5239000000001</v>
      </c>
      <c r="E148">
        <v>82.413600000000002</v>
      </c>
      <c r="F148">
        <v>0</v>
      </c>
      <c r="G148">
        <v>2073.6296000000002</v>
      </c>
      <c r="H148">
        <v>30.480699999999999</v>
      </c>
      <c r="I148">
        <v>6244.9759999999997</v>
      </c>
      <c r="J148">
        <v>146.88499999999999</v>
      </c>
      <c r="K148">
        <v>0</v>
      </c>
      <c r="L148">
        <v>6037.5309999999999</v>
      </c>
      <c r="M148">
        <v>60.56</v>
      </c>
      <c r="N148">
        <v>350</v>
      </c>
      <c r="O148">
        <v>561</v>
      </c>
      <c r="P148">
        <v>0</v>
      </c>
      <c r="Q148">
        <v>343</v>
      </c>
      <c r="R148">
        <v>503</v>
      </c>
    </row>
    <row r="149" spans="1:18" x14ac:dyDescent="0.35">
      <c r="A149" s="3">
        <v>39173</v>
      </c>
      <c r="B149" s="4">
        <f t="shared" si="4"/>
        <v>4</v>
      </c>
      <c r="C149" s="4">
        <f t="shared" si="5"/>
        <v>2007</v>
      </c>
      <c r="D149">
        <v>2166.5639999999999</v>
      </c>
      <c r="E149">
        <v>75.358599999999996</v>
      </c>
      <c r="F149">
        <v>0</v>
      </c>
      <c r="G149">
        <v>2059.1296000000002</v>
      </c>
      <c r="H149">
        <v>32.075800000000001</v>
      </c>
      <c r="I149">
        <v>6232.2510000000002</v>
      </c>
      <c r="J149">
        <v>129.49700000000001</v>
      </c>
      <c r="K149">
        <v>0</v>
      </c>
      <c r="L149">
        <v>6043.7719999999999</v>
      </c>
      <c r="M149">
        <v>58.981999999999999</v>
      </c>
      <c r="N149">
        <v>348</v>
      </c>
      <c r="O149">
        <v>582</v>
      </c>
      <c r="P149">
        <v>0</v>
      </c>
      <c r="Q149">
        <v>341</v>
      </c>
      <c r="R149">
        <v>544</v>
      </c>
    </row>
    <row r="150" spans="1:18" x14ac:dyDescent="0.35">
      <c r="A150" s="3">
        <v>39203</v>
      </c>
      <c r="B150" s="4">
        <f t="shared" si="4"/>
        <v>5</v>
      </c>
      <c r="C150" s="4">
        <f t="shared" si="5"/>
        <v>2007</v>
      </c>
      <c r="D150">
        <v>2480.6563999999998</v>
      </c>
      <c r="E150">
        <v>85.017899999999997</v>
      </c>
      <c r="F150">
        <v>0</v>
      </c>
      <c r="G150">
        <v>2367.7561000000001</v>
      </c>
      <c r="H150">
        <v>27.882400000000001</v>
      </c>
      <c r="I150">
        <v>7359.1859999999997</v>
      </c>
      <c r="J150">
        <v>175.54400000000001</v>
      </c>
      <c r="K150">
        <v>0</v>
      </c>
      <c r="L150">
        <v>7117.9080000000004</v>
      </c>
      <c r="M150">
        <v>65.733999999999995</v>
      </c>
      <c r="N150">
        <v>337</v>
      </c>
      <c r="O150">
        <v>484</v>
      </c>
      <c r="P150">
        <v>0</v>
      </c>
      <c r="Q150">
        <v>333</v>
      </c>
      <c r="R150">
        <v>424</v>
      </c>
    </row>
    <row r="151" spans="1:18" x14ac:dyDescent="0.35">
      <c r="A151" s="3">
        <v>39234</v>
      </c>
      <c r="B151" s="4">
        <f t="shared" si="4"/>
        <v>6</v>
      </c>
      <c r="C151" s="4">
        <f t="shared" si="5"/>
        <v>2007</v>
      </c>
      <c r="D151">
        <v>2300.5754999999999</v>
      </c>
      <c r="E151">
        <v>75.527900000000002</v>
      </c>
      <c r="F151">
        <v>0</v>
      </c>
      <c r="G151">
        <v>2193.1997999999999</v>
      </c>
      <c r="H151">
        <v>31.847799999999999</v>
      </c>
      <c r="I151">
        <v>6597.32</v>
      </c>
      <c r="J151">
        <v>134.90600000000001</v>
      </c>
      <c r="K151">
        <v>0</v>
      </c>
      <c r="L151">
        <v>6393.2669999999998</v>
      </c>
      <c r="M151">
        <v>69.147000000000006</v>
      </c>
      <c r="N151">
        <v>349</v>
      </c>
      <c r="O151">
        <v>560</v>
      </c>
      <c r="P151">
        <v>0</v>
      </c>
      <c r="Q151">
        <v>343</v>
      </c>
      <c r="R151">
        <v>461</v>
      </c>
    </row>
    <row r="152" spans="1:18" x14ac:dyDescent="0.35">
      <c r="A152" s="3">
        <v>39264</v>
      </c>
      <c r="B152" s="4">
        <f t="shared" si="4"/>
        <v>7</v>
      </c>
      <c r="C152" s="4">
        <f t="shared" si="5"/>
        <v>2007</v>
      </c>
      <c r="D152">
        <v>2469.4670999999998</v>
      </c>
      <c r="E152">
        <v>73.940700000000007</v>
      </c>
      <c r="F152">
        <v>0</v>
      </c>
      <c r="G152">
        <v>2356.4578999999999</v>
      </c>
      <c r="H152">
        <v>39.068600000000004</v>
      </c>
      <c r="I152">
        <v>6967.6469999999999</v>
      </c>
      <c r="J152">
        <v>133.489</v>
      </c>
      <c r="K152">
        <v>0</v>
      </c>
      <c r="L152">
        <v>6753.6660000000002</v>
      </c>
      <c r="M152">
        <v>80.492000000000004</v>
      </c>
      <c r="N152">
        <v>354</v>
      </c>
      <c r="O152">
        <v>554</v>
      </c>
      <c r="P152">
        <v>0</v>
      </c>
      <c r="Q152">
        <v>349</v>
      </c>
      <c r="R152">
        <v>485</v>
      </c>
    </row>
    <row r="153" spans="1:18" x14ac:dyDescent="0.35">
      <c r="A153" s="3">
        <v>39295</v>
      </c>
      <c r="B153" s="4">
        <f t="shared" si="4"/>
        <v>8</v>
      </c>
      <c r="C153" s="4">
        <f t="shared" si="5"/>
        <v>2007</v>
      </c>
      <c r="D153">
        <v>2514.9439000000002</v>
      </c>
      <c r="E153">
        <v>63.2027</v>
      </c>
      <c r="F153">
        <v>0</v>
      </c>
      <c r="G153">
        <v>2421.0001999999999</v>
      </c>
      <c r="H153">
        <v>30.741</v>
      </c>
      <c r="I153">
        <v>6964.5659999999998</v>
      </c>
      <c r="J153">
        <v>120.453</v>
      </c>
      <c r="K153">
        <v>0</v>
      </c>
      <c r="L153">
        <v>6783.0460000000003</v>
      </c>
      <c r="M153">
        <v>61.067</v>
      </c>
      <c r="N153">
        <v>361</v>
      </c>
      <c r="O153">
        <v>525</v>
      </c>
      <c r="P153">
        <v>0</v>
      </c>
      <c r="Q153">
        <v>357</v>
      </c>
      <c r="R153">
        <v>503</v>
      </c>
    </row>
    <row r="154" spans="1:18" x14ac:dyDescent="0.35">
      <c r="A154" s="3">
        <v>39326</v>
      </c>
      <c r="B154" s="4">
        <f t="shared" si="4"/>
        <v>9</v>
      </c>
      <c r="C154" s="4">
        <f t="shared" si="5"/>
        <v>2007</v>
      </c>
      <c r="D154">
        <v>2284.105</v>
      </c>
      <c r="E154">
        <v>46.338700000000003</v>
      </c>
      <c r="F154">
        <v>0</v>
      </c>
      <c r="G154">
        <v>2211.3760000000002</v>
      </c>
      <c r="H154">
        <v>26.3902</v>
      </c>
      <c r="I154">
        <v>6482.9610000000002</v>
      </c>
      <c r="J154">
        <v>86.084999999999994</v>
      </c>
      <c r="K154">
        <v>0</v>
      </c>
      <c r="L154">
        <v>6342.3050000000003</v>
      </c>
      <c r="M154">
        <v>54.570999999999998</v>
      </c>
      <c r="N154">
        <v>352</v>
      </c>
      <c r="O154">
        <v>538</v>
      </c>
      <c r="P154">
        <v>0</v>
      </c>
      <c r="Q154">
        <v>349</v>
      </c>
      <c r="R154">
        <v>484</v>
      </c>
    </row>
    <row r="155" spans="1:18" x14ac:dyDescent="0.35">
      <c r="A155" s="3">
        <v>39356</v>
      </c>
      <c r="B155" s="4">
        <f t="shared" si="4"/>
        <v>10</v>
      </c>
      <c r="C155" s="4">
        <f t="shared" si="5"/>
        <v>2007</v>
      </c>
      <c r="D155">
        <v>2465.5832999999998</v>
      </c>
      <c r="E155">
        <v>55.2256</v>
      </c>
      <c r="F155">
        <v>0</v>
      </c>
      <c r="G155">
        <v>2377.8216000000002</v>
      </c>
      <c r="H155">
        <v>32.536099999999998</v>
      </c>
      <c r="I155">
        <v>7218.9920000000002</v>
      </c>
      <c r="J155">
        <v>107.623</v>
      </c>
      <c r="K155">
        <v>0</v>
      </c>
      <c r="L155">
        <v>7052.8959999999997</v>
      </c>
      <c r="M155">
        <v>58.472999999999999</v>
      </c>
      <c r="N155">
        <v>342</v>
      </c>
      <c r="O155">
        <v>513</v>
      </c>
      <c r="P155">
        <v>0</v>
      </c>
      <c r="Q155">
        <v>337</v>
      </c>
      <c r="R155">
        <v>556</v>
      </c>
    </row>
    <row r="156" spans="1:18" x14ac:dyDescent="0.35">
      <c r="A156" s="3">
        <v>39387</v>
      </c>
      <c r="B156" s="4">
        <f t="shared" si="4"/>
        <v>11</v>
      </c>
      <c r="C156" s="4">
        <f t="shared" si="5"/>
        <v>2007</v>
      </c>
      <c r="D156">
        <v>2047.0797</v>
      </c>
      <c r="E156">
        <v>50.988799999999998</v>
      </c>
      <c r="F156">
        <v>0</v>
      </c>
      <c r="G156">
        <v>1965.8017</v>
      </c>
      <c r="H156">
        <v>30.289300000000001</v>
      </c>
      <c r="I156">
        <v>5990.1940000000004</v>
      </c>
      <c r="J156">
        <v>90.051000000000002</v>
      </c>
      <c r="K156">
        <v>0</v>
      </c>
      <c r="L156">
        <v>5845.17</v>
      </c>
      <c r="M156">
        <v>54.972999999999999</v>
      </c>
      <c r="N156">
        <v>342</v>
      </c>
      <c r="O156">
        <v>566</v>
      </c>
      <c r="P156">
        <v>0</v>
      </c>
      <c r="Q156">
        <v>336</v>
      </c>
      <c r="R156">
        <v>551</v>
      </c>
    </row>
    <row r="157" spans="1:18" x14ac:dyDescent="0.35">
      <c r="A157" s="3">
        <v>39417</v>
      </c>
      <c r="B157" s="4">
        <f t="shared" si="4"/>
        <v>12</v>
      </c>
      <c r="C157" s="4">
        <f t="shared" si="5"/>
        <v>2007</v>
      </c>
      <c r="D157">
        <v>2050.7298000000001</v>
      </c>
      <c r="E157">
        <v>67.599699999999999</v>
      </c>
      <c r="F157">
        <v>0</v>
      </c>
      <c r="G157">
        <v>1928.9809</v>
      </c>
      <c r="H157">
        <v>54.149299999999997</v>
      </c>
      <c r="I157">
        <v>6347.991</v>
      </c>
      <c r="J157">
        <v>130.499</v>
      </c>
      <c r="K157">
        <v>0</v>
      </c>
      <c r="L157">
        <v>6104.0420000000004</v>
      </c>
      <c r="M157">
        <v>113.45</v>
      </c>
      <c r="N157">
        <v>323</v>
      </c>
      <c r="O157">
        <v>518</v>
      </c>
      <c r="P157">
        <v>0</v>
      </c>
      <c r="Q157">
        <v>316</v>
      </c>
      <c r="R157">
        <v>477</v>
      </c>
    </row>
    <row r="158" spans="1:18" x14ac:dyDescent="0.35">
      <c r="A158" s="3">
        <v>39448</v>
      </c>
      <c r="B158" s="4">
        <f t="shared" si="4"/>
        <v>1</v>
      </c>
      <c r="C158" s="4">
        <f t="shared" si="5"/>
        <v>2008</v>
      </c>
      <c r="D158">
        <v>1781.6995999999999</v>
      </c>
      <c r="E158">
        <v>72.426100000000005</v>
      </c>
      <c r="F158">
        <v>0</v>
      </c>
      <c r="G158">
        <v>1665.5578</v>
      </c>
      <c r="H158">
        <v>43.715699999999998</v>
      </c>
      <c r="I158">
        <v>5286.9709999999995</v>
      </c>
      <c r="J158">
        <v>155.20099999999999</v>
      </c>
      <c r="K158">
        <v>0</v>
      </c>
      <c r="L158">
        <v>5068.134</v>
      </c>
      <c r="M158">
        <v>63.636000000000003</v>
      </c>
      <c r="N158">
        <v>337</v>
      </c>
      <c r="O158">
        <v>467</v>
      </c>
      <c r="P158">
        <v>0</v>
      </c>
      <c r="Q158">
        <v>329</v>
      </c>
      <c r="R158">
        <v>687</v>
      </c>
    </row>
    <row r="159" spans="1:18" x14ac:dyDescent="0.35">
      <c r="A159" s="3">
        <v>39479</v>
      </c>
      <c r="B159" s="4">
        <f t="shared" si="4"/>
        <v>2</v>
      </c>
      <c r="C159" s="4">
        <f t="shared" si="5"/>
        <v>2008</v>
      </c>
      <c r="D159">
        <v>1942.0302999999999</v>
      </c>
      <c r="E159">
        <v>47.197600000000001</v>
      </c>
      <c r="F159">
        <v>0</v>
      </c>
      <c r="G159">
        <v>1870.0963999999999</v>
      </c>
      <c r="H159">
        <v>24.7363</v>
      </c>
      <c r="I159">
        <v>5688.3760000000002</v>
      </c>
      <c r="J159">
        <v>100.992</v>
      </c>
      <c r="K159">
        <v>0</v>
      </c>
      <c r="L159">
        <v>5539.7920000000004</v>
      </c>
      <c r="M159">
        <v>47.591999999999999</v>
      </c>
      <c r="N159">
        <v>341</v>
      </c>
      <c r="O159">
        <v>467</v>
      </c>
      <c r="P159">
        <v>0</v>
      </c>
      <c r="Q159">
        <v>338</v>
      </c>
      <c r="R159">
        <v>520</v>
      </c>
    </row>
    <row r="160" spans="1:18" x14ac:dyDescent="0.35">
      <c r="A160" s="3">
        <v>39508</v>
      </c>
      <c r="B160" s="4">
        <f t="shared" si="4"/>
        <v>3</v>
      </c>
      <c r="C160" s="4">
        <f t="shared" si="5"/>
        <v>2008</v>
      </c>
      <c r="D160">
        <v>2206.3771000000002</v>
      </c>
      <c r="E160">
        <v>45.842700000000001</v>
      </c>
      <c r="F160">
        <v>0</v>
      </c>
      <c r="G160">
        <v>2129.5517</v>
      </c>
      <c r="H160">
        <v>30.982600000000001</v>
      </c>
      <c r="I160">
        <v>6368.96</v>
      </c>
      <c r="J160">
        <v>99.194000000000003</v>
      </c>
      <c r="K160">
        <v>0</v>
      </c>
      <c r="L160">
        <v>6206.433</v>
      </c>
      <c r="M160">
        <v>63.332999999999998</v>
      </c>
      <c r="N160">
        <v>346</v>
      </c>
      <c r="O160">
        <v>462</v>
      </c>
      <c r="P160">
        <v>0</v>
      </c>
      <c r="Q160">
        <v>343</v>
      </c>
      <c r="R160">
        <v>489</v>
      </c>
    </row>
    <row r="161" spans="1:18" x14ac:dyDescent="0.35">
      <c r="A161" s="3">
        <v>39539</v>
      </c>
      <c r="B161" s="4">
        <f t="shared" si="4"/>
        <v>4</v>
      </c>
      <c r="C161" s="4">
        <f t="shared" si="5"/>
        <v>2008</v>
      </c>
      <c r="D161">
        <v>2278.0889999999999</v>
      </c>
      <c r="E161">
        <v>47.275700000000001</v>
      </c>
      <c r="F161">
        <v>0</v>
      </c>
      <c r="G161">
        <v>2201.9011999999998</v>
      </c>
      <c r="H161">
        <v>28.912099999999999</v>
      </c>
      <c r="I161">
        <v>6423.1819999999998</v>
      </c>
      <c r="J161">
        <v>98.466999999999999</v>
      </c>
      <c r="K161">
        <v>0</v>
      </c>
      <c r="L161">
        <v>6273.9350000000004</v>
      </c>
      <c r="M161">
        <v>50.78</v>
      </c>
      <c r="N161">
        <v>355</v>
      </c>
      <c r="O161">
        <v>480</v>
      </c>
      <c r="P161">
        <v>0</v>
      </c>
      <c r="Q161">
        <v>351</v>
      </c>
      <c r="R161">
        <v>569</v>
      </c>
    </row>
    <row r="162" spans="1:18" x14ac:dyDescent="0.35">
      <c r="A162" s="3">
        <v>39569</v>
      </c>
      <c r="B162" s="4">
        <f t="shared" si="4"/>
        <v>5</v>
      </c>
      <c r="C162" s="4">
        <f t="shared" si="5"/>
        <v>2008</v>
      </c>
      <c r="D162">
        <v>2477.9621999999999</v>
      </c>
      <c r="E162">
        <v>52.058700000000002</v>
      </c>
      <c r="F162">
        <v>0</v>
      </c>
      <c r="G162">
        <v>2392.7496999999998</v>
      </c>
      <c r="H162">
        <v>33.153799999999997</v>
      </c>
      <c r="I162">
        <v>7398.0240000000003</v>
      </c>
      <c r="J162">
        <v>164.108</v>
      </c>
      <c r="K162">
        <v>0</v>
      </c>
      <c r="L162">
        <v>7174.7349999999997</v>
      </c>
      <c r="M162">
        <v>59.180999999999997</v>
      </c>
      <c r="N162">
        <v>335</v>
      </c>
      <c r="O162">
        <v>317</v>
      </c>
      <c r="P162">
        <v>0</v>
      </c>
      <c r="Q162">
        <v>333</v>
      </c>
      <c r="R162">
        <v>560</v>
      </c>
    </row>
    <row r="163" spans="1:18" x14ac:dyDescent="0.35">
      <c r="A163" s="3">
        <v>39600</v>
      </c>
      <c r="B163" s="4">
        <f t="shared" si="4"/>
        <v>6</v>
      </c>
      <c r="C163" s="4">
        <f t="shared" si="5"/>
        <v>2008</v>
      </c>
      <c r="D163">
        <v>2366.0059999999999</v>
      </c>
      <c r="E163">
        <v>51.300199999999997</v>
      </c>
      <c r="F163">
        <v>0</v>
      </c>
      <c r="G163">
        <v>2275.1237999999998</v>
      </c>
      <c r="H163">
        <v>39.582000000000001</v>
      </c>
      <c r="I163">
        <v>6754.2030000000004</v>
      </c>
      <c r="J163">
        <v>107.114</v>
      </c>
      <c r="K163">
        <v>0</v>
      </c>
      <c r="L163">
        <v>6573.1930000000002</v>
      </c>
      <c r="M163">
        <v>73.896000000000001</v>
      </c>
      <c r="N163">
        <v>350</v>
      </c>
      <c r="O163">
        <v>479</v>
      </c>
      <c r="P163">
        <v>0</v>
      </c>
      <c r="Q163">
        <v>346</v>
      </c>
      <c r="R163">
        <v>536</v>
      </c>
    </row>
    <row r="164" spans="1:18" x14ac:dyDescent="0.35">
      <c r="A164" s="3">
        <v>39630</v>
      </c>
      <c r="B164" s="4">
        <f t="shared" si="4"/>
        <v>7</v>
      </c>
      <c r="C164" s="4">
        <f t="shared" si="5"/>
        <v>2008</v>
      </c>
      <c r="D164">
        <v>2278.9294</v>
      </c>
      <c r="E164">
        <v>55.419800000000002</v>
      </c>
      <c r="F164">
        <v>0</v>
      </c>
      <c r="G164">
        <v>2177.1716999999999</v>
      </c>
      <c r="H164">
        <v>46.337899999999998</v>
      </c>
      <c r="I164">
        <v>6441.5190000000002</v>
      </c>
      <c r="J164">
        <v>115.366</v>
      </c>
      <c r="K164">
        <v>0</v>
      </c>
      <c r="L164">
        <v>6245.7129999999997</v>
      </c>
      <c r="M164">
        <v>80.44</v>
      </c>
      <c r="N164">
        <v>354</v>
      </c>
      <c r="O164">
        <v>480</v>
      </c>
      <c r="P164">
        <v>0</v>
      </c>
      <c r="Q164">
        <v>349</v>
      </c>
      <c r="R164">
        <v>576</v>
      </c>
    </row>
    <row r="165" spans="1:18" x14ac:dyDescent="0.35">
      <c r="A165" s="3">
        <v>39661</v>
      </c>
      <c r="B165" s="4">
        <f t="shared" si="4"/>
        <v>8</v>
      </c>
      <c r="C165" s="4">
        <f t="shared" si="5"/>
        <v>2008</v>
      </c>
      <c r="D165">
        <v>2198.5254</v>
      </c>
      <c r="E165">
        <v>48.483600000000003</v>
      </c>
      <c r="F165">
        <v>0</v>
      </c>
      <c r="G165">
        <v>2115.0785999999998</v>
      </c>
      <c r="H165">
        <v>34.963200000000001</v>
      </c>
      <c r="I165">
        <v>6389.2780000000002</v>
      </c>
      <c r="J165">
        <v>111.654</v>
      </c>
      <c r="K165">
        <v>0</v>
      </c>
      <c r="L165">
        <v>6211.7349999999997</v>
      </c>
      <c r="M165">
        <v>65.888999999999996</v>
      </c>
      <c r="N165">
        <v>344</v>
      </c>
      <c r="O165">
        <v>434</v>
      </c>
      <c r="P165">
        <v>0</v>
      </c>
      <c r="Q165">
        <v>340</v>
      </c>
      <c r="R165">
        <v>531</v>
      </c>
    </row>
    <row r="166" spans="1:18" x14ac:dyDescent="0.35">
      <c r="A166" s="3">
        <v>39692</v>
      </c>
      <c r="B166" s="4">
        <f t="shared" si="4"/>
        <v>9</v>
      </c>
      <c r="C166" s="4">
        <f t="shared" si="5"/>
        <v>2008</v>
      </c>
      <c r="D166">
        <v>2208.0882999999999</v>
      </c>
      <c r="E166">
        <v>44.761400000000002</v>
      </c>
      <c r="F166">
        <v>0</v>
      </c>
      <c r="G166">
        <v>2133.962</v>
      </c>
      <c r="H166">
        <v>29.364899999999999</v>
      </c>
      <c r="I166">
        <v>6408.1329999999998</v>
      </c>
      <c r="J166">
        <v>108.75700000000001</v>
      </c>
      <c r="K166">
        <v>0</v>
      </c>
      <c r="L166">
        <v>6245.4570000000003</v>
      </c>
      <c r="M166">
        <v>53.918999999999997</v>
      </c>
      <c r="N166">
        <v>345</v>
      </c>
      <c r="O166">
        <v>412</v>
      </c>
      <c r="P166">
        <v>0</v>
      </c>
      <c r="Q166">
        <v>342</v>
      </c>
      <c r="R166">
        <v>545</v>
      </c>
    </row>
    <row r="167" spans="1:18" x14ac:dyDescent="0.35">
      <c r="A167" s="3">
        <v>39722</v>
      </c>
      <c r="B167" s="4">
        <f t="shared" si="4"/>
        <v>10</v>
      </c>
      <c r="C167" s="4">
        <f t="shared" si="5"/>
        <v>2008</v>
      </c>
      <c r="D167">
        <v>2759.2451000000001</v>
      </c>
      <c r="E167">
        <v>49.3874</v>
      </c>
      <c r="F167">
        <v>0</v>
      </c>
      <c r="G167">
        <v>2680.2881000000002</v>
      </c>
      <c r="H167">
        <v>29.569600000000001</v>
      </c>
      <c r="I167">
        <v>6969.2089999999998</v>
      </c>
      <c r="J167">
        <v>99.239000000000004</v>
      </c>
      <c r="K167">
        <v>0</v>
      </c>
      <c r="L167">
        <v>6812.4579999999996</v>
      </c>
      <c r="M167">
        <v>57.512</v>
      </c>
      <c r="N167">
        <v>396</v>
      </c>
      <c r="O167">
        <v>498</v>
      </c>
      <c r="P167">
        <v>0</v>
      </c>
      <c r="Q167">
        <v>393</v>
      </c>
      <c r="R167">
        <v>514</v>
      </c>
    </row>
    <row r="168" spans="1:18" x14ac:dyDescent="0.35">
      <c r="A168" s="3">
        <v>39753</v>
      </c>
      <c r="B168" s="4">
        <f t="shared" si="4"/>
        <v>11</v>
      </c>
      <c r="C168" s="4">
        <f t="shared" si="5"/>
        <v>2008</v>
      </c>
      <c r="D168">
        <v>1834.3371999999999</v>
      </c>
      <c r="E168">
        <v>35.136000000000003</v>
      </c>
      <c r="F168">
        <v>0</v>
      </c>
      <c r="G168">
        <v>1767.7539999999999</v>
      </c>
      <c r="H168">
        <v>31.447199999999999</v>
      </c>
      <c r="I168">
        <v>5491.741</v>
      </c>
      <c r="J168">
        <v>81.975999999999999</v>
      </c>
      <c r="K168">
        <v>0</v>
      </c>
      <c r="L168">
        <v>5345.6949999999997</v>
      </c>
      <c r="M168">
        <v>64.069999999999993</v>
      </c>
      <c r="N168">
        <v>334</v>
      </c>
      <c r="O168">
        <v>429</v>
      </c>
      <c r="P168">
        <v>0</v>
      </c>
      <c r="Q168">
        <v>331</v>
      </c>
      <c r="R168">
        <v>491</v>
      </c>
    </row>
    <row r="169" spans="1:18" x14ac:dyDescent="0.35">
      <c r="A169" s="3">
        <v>39783</v>
      </c>
      <c r="B169" s="4">
        <f t="shared" si="4"/>
        <v>12</v>
      </c>
      <c r="C169" s="4">
        <f t="shared" si="5"/>
        <v>2008</v>
      </c>
      <c r="D169">
        <v>1853.9266</v>
      </c>
      <c r="E169">
        <v>49.354500000000002</v>
      </c>
      <c r="F169">
        <v>0</v>
      </c>
      <c r="G169">
        <v>1744.6878999999999</v>
      </c>
      <c r="H169">
        <v>59.8842</v>
      </c>
      <c r="I169">
        <v>5908.9690000000001</v>
      </c>
      <c r="J169">
        <v>111.27</v>
      </c>
      <c r="K169">
        <v>0</v>
      </c>
      <c r="L169">
        <v>5681.6229999999996</v>
      </c>
      <c r="M169">
        <v>116.07599999999999</v>
      </c>
      <c r="N169">
        <v>314</v>
      </c>
      <c r="O169">
        <v>444</v>
      </c>
      <c r="P169">
        <v>0</v>
      </c>
      <c r="Q169">
        <v>307</v>
      </c>
      <c r="R169">
        <v>516</v>
      </c>
    </row>
    <row r="170" spans="1:18" x14ac:dyDescent="0.35">
      <c r="A170" s="3">
        <v>39814</v>
      </c>
      <c r="B170" s="4">
        <f t="shared" si="4"/>
        <v>1</v>
      </c>
      <c r="C170" s="4">
        <f t="shared" si="5"/>
        <v>2009</v>
      </c>
      <c r="D170">
        <v>1642.9594</v>
      </c>
      <c r="E170">
        <v>38.5747</v>
      </c>
      <c r="F170">
        <v>0</v>
      </c>
      <c r="G170">
        <v>1559.9989</v>
      </c>
      <c r="H170">
        <v>44.385899999999999</v>
      </c>
      <c r="I170">
        <v>5008.3230000000003</v>
      </c>
      <c r="J170">
        <v>90.799000000000007</v>
      </c>
      <c r="K170">
        <v>0</v>
      </c>
      <c r="L170">
        <v>4858.8140000000003</v>
      </c>
      <c r="M170">
        <v>58.71</v>
      </c>
      <c r="N170">
        <v>328</v>
      </c>
      <c r="O170">
        <v>425</v>
      </c>
      <c r="P170">
        <v>0</v>
      </c>
      <c r="Q170">
        <v>321</v>
      </c>
      <c r="R170">
        <v>756</v>
      </c>
    </row>
    <row r="171" spans="1:18" x14ac:dyDescent="0.35">
      <c r="A171" s="3">
        <v>39845</v>
      </c>
      <c r="B171" s="4">
        <f t="shared" si="4"/>
        <v>2</v>
      </c>
      <c r="C171" s="4">
        <f t="shared" si="5"/>
        <v>2009</v>
      </c>
      <c r="D171">
        <v>1890.6882000000001</v>
      </c>
      <c r="E171">
        <v>32.650599999999997</v>
      </c>
      <c r="F171">
        <v>0</v>
      </c>
      <c r="G171">
        <v>1834.4036000000001</v>
      </c>
      <c r="H171">
        <v>23.6341</v>
      </c>
      <c r="I171">
        <v>5417.4679999999998</v>
      </c>
      <c r="J171">
        <v>68.677999999999997</v>
      </c>
      <c r="K171">
        <v>0</v>
      </c>
      <c r="L171">
        <v>5301.9290000000001</v>
      </c>
      <c r="M171">
        <v>46.860999999999997</v>
      </c>
      <c r="N171">
        <v>349</v>
      </c>
      <c r="O171">
        <v>475</v>
      </c>
      <c r="P171">
        <v>0</v>
      </c>
      <c r="Q171">
        <v>346</v>
      </c>
      <c r="R171">
        <v>504</v>
      </c>
    </row>
    <row r="172" spans="1:18" x14ac:dyDescent="0.35">
      <c r="A172" s="3">
        <v>39873</v>
      </c>
      <c r="B172" s="4">
        <f t="shared" si="4"/>
        <v>3</v>
      </c>
      <c r="C172" s="4">
        <f t="shared" si="5"/>
        <v>2009</v>
      </c>
      <c r="D172">
        <v>2194.4479000000001</v>
      </c>
      <c r="E172">
        <v>36.200600000000001</v>
      </c>
      <c r="F172">
        <v>0</v>
      </c>
      <c r="G172">
        <v>2131.9173999999998</v>
      </c>
      <c r="H172">
        <v>26.329899999999999</v>
      </c>
      <c r="I172">
        <v>6273.15</v>
      </c>
      <c r="J172">
        <v>77.13</v>
      </c>
      <c r="K172">
        <v>0</v>
      </c>
      <c r="L172">
        <v>6134.1540000000005</v>
      </c>
      <c r="M172">
        <v>61.866</v>
      </c>
      <c r="N172">
        <v>350</v>
      </c>
      <c r="O172">
        <v>469</v>
      </c>
      <c r="P172">
        <v>0</v>
      </c>
      <c r="Q172">
        <v>348</v>
      </c>
      <c r="R172">
        <v>426</v>
      </c>
    </row>
    <row r="173" spans="1:18" x14ac:dyDescent="0.35">
      <c r="A173" s="3">
        <v>39904</v>
      </c>
      <c r="B173" s="4">
        <f t="shared" si="4"/>
        <v>4</v>
      </c>
      <c r="C173" s="4">
        <f t="shared" si="5"/>
        <v>2009</v>
      </c>
      <c r="D173">
        <v>1867.0471</v>
      </c>
      <c r="E173">
        <v>34.834600000000002</v>
      </c>
      <c r="F173">
        <v>0</v>
      </c>
      <c r="G173">
        <v>1797.6985999999999</v>
      </c>
      <c r="H173">
        <v>34.5139</v>
      </c>
      <c r="I173">
        <v>5753.3029999999999</v>
      </c>
      <c r="J173">
        <v>75.001999999999995</v>
      </c>
      <c r="K173">
        <v>0</v>
      </c>
      <c r="L173">
        <v>5599.1840000000002</v>
      </c>
      <c r="M173">
        <v>79.117000000000004</v>
      </c>
      <c r="N173">
        <v>325</v>
      </c>
      <c r="O173">
        <v>464</v>
      </c>
      <c r="P173">
        <v>0</v>
      </c>
      <c r="Q173">
        <v>321</v>
      </c>
      <c r="R173">
        <v>436</v>
      </c>
    </row>
    <row r="174" spans="1:18" x14ac:dyDescent="0.35">
      <c r="A174" s="3">
        <v>39934</v>
      </c>
      <c r="B174" s="4">
        <f t="shared" si="4"/>
        <v>5</v>
      </c>
      <c r="C174" s="4">
        <f t="shared" si="5"/>
        <v>2009</v>
      </c>
      <c r="D174">
        <v>1986.2720999999999</v>
      </c>
      <c r="E174">
        <v>33.556100000000001</v>
      </c>
      <c r="F174">
        <v>0</v>
      </c>
      <c r="G174">
        <v>1936.4945</v>
      </c>
      <c r="H174">
        <v>16.221399999999999</v>
      </c>
      <c r="I174">
        <v>6545.9269999999997</v>
      </c>
      <c r="J174">
        <v>82.191999999999993</v>
      </c>
      <c r="K174">
        <v>0</v>
      </c>
      <c r="L174">
        <v>6424.8909999999996</v>
      </c>
      <c r="M174">
        <v>38.844000000000001</v>
      </c>
      <c r="N174">
        <v>303</v>
      </c>
      <c r="O174">
        <v>408</v>
      </c>
      <c r="P174">
        <v>0</v>
      </c>
      <c r="Q174">
        <v>301</v>
      </c>
      <c r="R174">
        <v>418</v>
      </c>
    </row>
    <row r="175" spans="1:18" x14ac:dyDescent="0.35">
      <c r="A175" s="3">
        <v>39965</v>
      </c>
      <c r="B175" s="4">
        <f t="shared" si="4"/>
        <v>6</v>
      </c>
      <c r="C175" s="4">
        <f t="shared" si="5"/>
        <v>2009</v>
      </c>
      <c r="D175">
        <v>2007.8197</v>
      </c>
      <c r="E175">
        <v>36.053800000000003</v>
      </c>
      <c r="F175">
        <v>0</v>
      </c>
      <c r="G175">
        <v>1938.4319</v>
      </c>
      <c r="H175">
        <v>33.334099999999999</v>
      </c>
      <c r="I175">
        <v>6246.6379999999999</v>
      </c>
      <c r="J175">
        <v>86.266000000000005</v>
      </c>
      <c r="K175">
        <v>0</v>
      </c>
      <c r="L175">
        <v>6086.1769999999997</v>
      </c>
      <c r="M175">
        <v>74.194999999999993</v>
      </c>
      <c r="N175">
        <v>321</v>
      </c>
      <c r="O175">
        <v>418</v>
      </c>
      <c r="P175">
        <v>0</v>
      </c>
      <c r="Q175">
        <v>318</v>
      </c>
      <c r="R175">
        <v>449</v>
      </c>
    </row>
    <row r="176" spans="1:18" x14ac:dyDescent="0.35">
      <c r="A176" s="3">
        <v>39995</v>
      </c>
      <c r="B176" s="4">
        <f t="shared" si="4"/>
        <v>7</v>
      </c>
      <c r="C176" s="4">
        <f t="shared" si="5"/>
        <v>2009</v>
      </c>
      <c r="D176">
        <v>1919.4754</v>
      </c>
      <c r="E176">
        <v>32.517600000000002</v>
      </c>
      <c r="F176">
        <v>0</v>
      </c>
      <c r="G176">
        <v>1845.7727</v>
      </c>
      <c r="H176">
        <v>41.185099999999998</v>
      </c>
      <c r="I176">
        <v>5936.8680000000004</v>
      </c>
      <c r="J176">
        <v>68.213999999999999</v>
      </c>
      <c r="K176">
        <v>0</v>
      </c>
      <c r="L176">
        <v>5759.5929999999998</v>
      </c>
      <c r="M176">
        <v>109.06100000000001</v>
      </c>
      <c r="N176">
        <v>323</v>
      </c>
      <c r="O176">
        <v>477</v>
      </c>
      <c r="P176">
        <v>0</v>
      </c>
      <c r="Q176">
        <v>320</v>
      </c>
      <c r="R176">
        <v>378</v>
      </c>
    </row>
    <row r="177" spans="1:18" x14ac:dyDescent="0.35">
      <c r="A177" s="3">
        <v>40026</v>
      </c>
      <c r="B177" s="4">
        <f t="shared" si="4"/>
        <v>8</v>
      </c>
      <c r="C177" s="4">
        <f t="shared" si="5"/>
        <v>2009</v>
      </c>
      <c r="D177">
        <v>1864.1987999999999</v>
      </c>
      <c r="E177">
        <v>28.127600000000001</v>
      </c>
      <c r="F177">
        <v>0</v>
      </c>
      <c r="G177">
        <v>1801.548</v>
      </c>
      <c r="H177">
        <v>34.523200000000003</v>
      </c>
      <c r="I177">
        <v>5990.7039999999997</v>
      </c>
      <c r="J177">
        <v>64.885000000000005</v>
      </c>
      <c r="K177">
        <v>0</v>
      </c>
      <c r="L177">
        <v>5831.3649999999998</v>
      </c>
      <c r="M177">
        <v>94.453999999999994</v>
      </c>
      <c r="N177">
        <v>311</v>
      </c>
      <c r="O177">
        <v>433</v>
      </c>
      <c r="P177">
        <v>0</v>
      </c>
      <c r="Q177">
        <v>309</v>
      </c>
      <c r="R177">
        <v>366</v>
      </c>
    </row>
    <row r="178" spans="1:18" x14ac:dyDescent="0.35">
      <c r="A178" s="3">
        <v>40057</v>
      </c>
      <c r="B178" s="4">
        <f t="shared" si="4"/>
        <v>9</v>
      </c>
      <c r="C178" s="4">
        <f t="shared" si="5"/>
        <v>2009</v>
      </c>
      <c r="D178">
        <v>1808.0308</v>
      </c>
      <c r="E178">
        <v>25.204000000000001</v>
      </c>
      <c r="F178">
        <v>0</v>
      </c>
      <c r="G178">
        <v>1766.8594000000001</v>
      </c>
      <c r="H178">
        <v>15.9674</v>
      </c>
      <c r="I178">
        <v>5763.45</v>
      </c>
      <c r="J178">
        <v>56.249000000000002</v>
      </c>
      <c r="K178">
        <v>0</v>
      </c>
      <c r="L178">
        <v>5663.3819999999996</v>
      </c>
      <c r="M178">
        <v>43.819000000000003</v>
      </c>
      <c r="N178">
        <v>314</v>
      </c>
      <c r="O178">
        <v>448</v>
      </c>
      <c r="P178">
        <v>0</v>
      </c>
      <c r="Q178">
        <v>312</v>
      </c>
      <c r="R178">
        <v>364</v>
      </c>
    </row>
    <row r="179" spans="1:18" x14ac:dyDescent="0.35">
      <c r="A179" s="3">
        <v>40087</v>
      </c>
      <c r="B179" s="4">
        <f t="shared" si="4"/>
        <v>10</v>
      </c>
      <c r="C179" s="4">
        <f t="shared" si="5"/>
        <v>2009</v>
      </c>
      <c r="D179">
        <v>1756.2438999999999</v>
      </c>
      <c r="E179">
        <v>23.969799999999999</v>
      </c>
      <c r="F179">
        <v>0</v>
      </c>
      <c r="G179">
        <v>1710.337</v>
      </c>
      <c r="H179">
        <v>21.937100000000001</v>
      </c>
      <c r="I179">
        <v>5860.3270000000002</v>
      </c>
      <c r="J179">
        <v>55.588999999999999</v>
      </c>
      <c r="K179">
        <v>0</v>
      </c>
      <c r="L179">
        <v>5748.0559999999996</v>
      </c>
      <c r="M179">
        <v>56.682000000000002</v>
      </c>
      <c r="N179">
        <v>300</v>
      </c>
      <c r="O179">
        <v>431</v>
      </c>
      <c r="P179">
        <v>0</v>
      </c>
      <c r="Q179">
        <v>298</v>
      </c>
      <c r="R179">
        <v>387</v>
      </c>
    </row>
    <row r="180" spans="1:18" x14ac:dyDescent="0.35">
      <c r="A180" s="3">
        <v>40118</v>
      </c>
      <c r="B180" s="4">
        <f t="shared" si="4"/>
        <v>11</v>
      </c>
      <c r="C180" s="4">
        <f t="shared" si="5"/>
        <v>2009</v>
      </c>
      <c r="D180">
        <v>1563.7409</v>
      </c>
      <c r="E180">
        <v>25.6083</v>
      </c>
      <c r="F180">
        <v>0</v>
      </c>
      <c r="G180">
        <v>1506.9213</v>
      </c>
      <c r="H180">
        <v>31.211300000000001</v>
      </c>
      <c r="I180">
        <v>5245.85</v>
      </c>
      <c r="J180">
        <v>57.399000000000001</v>
      </c>
      <c r="K180">
        <v>0</v>
      </c>
      <c r="L180">
        <v>5104.6850000000004</v>
      </c>
      <c r="M180">
        <v>83.766000000000005</v>
      </c>
      <c r="N180">
        <v>298</v>
      </c>
      <c r="O180">
        <v>446</v>
      </c>
      <c r="P180">
        <v>0</v>
      </c>
      <c r="Q180">
        <v>295</v>
      </c>
      <c r="R180">
        <v>373</v>
      </c>
    </row>
    <row r="181" spans="1:18" x14ac:dyDescent="0.35">
      <c r="A181" s="3">
        <v>40148</v>
      </c>
      <c r="B181" s="4">
        <f t="shared" si="4"/>
        <v>12</v>
      </c>
      <c r="C181" s="4">
        <f t="shared" si="5"/>
        <v>2009</v>
      </c>
      <c r="D181">
        <v>1622.8016</v>
      </c>
      <c r="E181">
        <v>38.924799999999998</v>
      </c>
      <c r="F181">
        <v>0</v>
      </c>
      <c r="G181">
        <v>1534.4938999999999</v>
      </c>
      <c r="H181">
        <v>49.382899999999999</v>
      </c>
      <c r="I181">
        <v>5588.6059999999998</v>
      </c>
      <c r="J181">
        <v>84.024000000000001</v>
      </c>
      <c r="K181">
        <v>0</v>
      </c>
      <c r="L181">
        <v>5390.1570000000002</v>
      </c>
      <c r="M181">
        <v>114.425</v>
      </c>
      <c r="N181">
        <v>290</v>
      </c>
      <c r="O181">
        <v>463</v>
      </c>
      <c r="P181">
        <v>0</v>
      </c>
      <c r="Q181">
        <v>285</v>
      </c>
      <c r="R181">
        <v>432</v>
      </c>
    </row>
    <row r="182" spans="1:18" x14ac:dyDescent="0.35">
      <c r="A182" s="3">
        <v>40179</v>
      </c>
      <c r="B182" s="4">
        <f t="shared" si="4"/>
        <v>1</v>
      </c>
      <c r="C182" s="4">
        <f t="shared" si="5"/>
        <v>2010</v>
      </c>
      <c r="D182">
        <v>1374.0618999999999</v>
      </c>
      <c r="E182">
        <v>33.163499999999999</v>
      </c>
      <c r="F182">
        <v>0</v>
      </c>
      <c r="G182">
        <v>1313.7756999999999</v>
      </c>
      <c r="H182">
        <v>27.122699999999998</v>
      </c>
      <c r="I182">
        <v>4649.5450000000001</v>
      </c>
      <c r="J182">
        <v>74.105000000000004</v>
      </c>
      <c r="K182">
        <v>0</v>
      </c>
      <c r="L182">
        <v>4514.8710000000001</v>
      </c>
      <c r="M182">
        <v>60.569000000000003</v>
      </c>
      <c r="N182">
        <v>296</v>
      </c>
      <c r="O182">
        <v>448</v>
      </c>
      <c r="P182">
        <v>0</v>
      </c>
      <c r="Q182">
        <v>291</v>
      </c>
      <c r="R182">
        <v>448</v>
      </c>
    </row>
    <row r="183" spans="1:18" x14ac:dyDescent="0.35">
      <c r="A183" s="3">
        <v>40210</v>
      </c>
      <c r="B183" s="4">
        <f t="shared" si="4"/>
        <v>2</v>
      </c>
      <c r="C183" s="4">
        <f t="shared" si="5"/>
        <v>2010</v>
      </c>
      <c r="D183">
        <v>1610.3715999999999</v>
      </c>
      <c r="E183">
        <v>27.6889</v>
      </c>
      <c r="F183">
        <v>0</v>
      </c>
      <c r="G183">
        <v>1562.8762999999999</v>
      </c>
      <c r="H183">
        <v>19.8064</v>
      </c>
      <c r="I183">
        <v>5068.6629999999996</v>
      </c>
      <c r="J183">
        <v>59.582000000000001</v>
      </c>
      <c r="K183">
        <v>0</v>
      </c>
      <c r="L183">
        <v>4962.1080000000002</v>
      </c>
      <c r="M183">
        <v>46.972999999999999</v>
      </c>
      <c r="N183">
        <v>318</v>
      </c>
      <c r="O183">
        <v>465</v>
      </c>
      <c r="P183">
        <v>0</v>
      </c>
      <c r="Q183">
        <v>315</v>
      </c>
      <c r="R183">
        <v>422</v>
      </c>
    </row>
    <row r="184" spans="1:18" x14ac:dyDescent="0.35">
      <c r="A184" s="3">
        <v>40238</v>
      </c>
      <c r="B184" s="4">
        <f t="shared" si="4"/>
        <v>3</v>
      </c>
      <c r="C184" s="4">
        <f t="shared" si="5"/>
        <v>2010</v>
      </c>
      <c r="D184">
        <v>2018.3172999999999</v>
      </c>
      <c r="E184">
        <v>36.057400000000001</v>
      </c>
      <c r="F184">
        <v>0</v>
      </c>
      <c r="G184">
        <v>1964.9028000000001</v>
      </c>
      <c r="H184">
        <v>17.357099999999999</v>
      </c>
      <c r="I184">
        <v>6211.9930000000004</v>
      </c>
      <c r="J184">
        <v>74.356999999999999</v>
      </c>
      <c r="K184">
        <v>0</v>
      </c>
      <c r="L184">
        <v>6088.7579999999998</v>
      </c>
      <c r="M184">
        <v>48.878</v>
      </c>
      <c r="N184">
        <v>325</v>
      </c>
      <c r="O184">
        <v>485</v>
      </c>
      <c r="P184">
        <v>0</v>
      </c>
      <c r="Q184">
        <v>323</v>
      </c>
      <c r="R184">
        <v>355</v>
      </c>
    </row>
    <row r="185" spans="1:18" x14ac:dyDescent="0.35">
      <c r="A185" s="3">
        <v>40269</v>
      </c>
      <c r="B185" s="4">
        <f t="shared" si="4"/>
        <v>4</v>
      </c>
      <c r="C185" s="4">
        <f t="shared" si="5"/>
        <v>2010</v>
      </c>
      <c r="D185">
        <v>1853.3742999999999</v>
      </c>
      <c r="E185">
        <v>33.395099999999999</v>
      </c>
      <c r="F185">
        <v>0</v>
      </c>
      <c r="G185">
        <v>1799.4725000000001</v>
      </c>
      <c r="H185">
        <v>20.506599999999999</v>
      </c>
      <c r="I185">
        <v>5700.317</v>
      </c>
      <c r="J185">
        <v>67.643000000000001</v>
      </c>
      <c r="K185">
        <v>0</v>
      </c>
      <c r="L185">
        <v>5570.8950000000004</v>
      </c>
      <c r="M185">
        <v>61.779000000000003</v>
      </c>
      <c r="N185">
        <v>325</v>
      </c>
      <c r="O185">
        <v>494</v>
      </c>
      <c r="P185">
        <v>0</v>
      </c>
      <c r="Q185">
        <v>323</v>
      </c>
      <c r="R185">
        <v>332</v>
      </c>
    </row>
    <row r="186" spans="1:18" x14ac:dyDescent="0.35">
      <c r="A186" s="3">
        <v>40299</v>
      </c>
      <c r="B186" s="4">
        <f t="shared" si="4"/>
        <v>5</v>
      </c>
      <c r="C186" s="4">
        <f t="shared" si="5"/>
        <v>2010</v>
      </c>
      <c r="D186">
        <v>2215.0434</v>
      </c>
      <c r="E186">
        <v>35.892499999999998</v>
      </c>
      <c r="F186">
        <v>0</v>
      </c>
      <c r="G186">
        <v>2159.3000999999999</v>
      </c>
      <c r="H186">
        <v>19.8508</v>
      </c>
      <c r="I186">
        <v>6961.5230000000001</v>
      </c>
      <c r="J186">
        <v>76.570999999999998</v>
      </c>
      <c r="K186">
        <v>0</v>
      </c>
      <c r="L186">
        <v>6828.2560000000003</v>
      </c>
      <c r="M186">
        <v>56.695999999999998</v>
      </c>
      <c r="N186">
        <v>318</v>
      </c>
      <c r="O186">
        <v>469</v>
      </c>
      <c r="P186">
        <v>0</v>
      </c>
      <c r="Q186">
        <v>316</v>
      </c>
      <c r="R186">
        <v>350</v>
      </c>
    </row>
    <row r="187" spans="1:18" x14ac:dyDescent="0.35">
      <c r="A187" s="3">
        <v>40330</v>
      </c>
      <c r="B187" s="4">
        <f t="shared" si="4"/>
        <v>6</v>
      </c>
      <c r="C187" s="4">
        <f t="shared" si="5"/>
        <v>2010</v>
      </c>
      <c r="D187">
        <v>1954.6276</v>
      </c>
      <c r="E187">
        <v>34.516800000000003</v>
      </c>
      <c r="F187">
        <v>0</v>
      </c>
      <c r="G187">
        <v>1894.4179999999999</v>
      </c>
      <c r="H187">
        <v>25.692900000000002</v>
      </c>
      <c r="I187">
        <v>6076.5810000000001</v>
      </c>
      <c r="J187">
        <v>71.141999999999996</v>
      </c>
      <c r="K187">
        <v>0</v>
      </c>
      <c r="L187">
        <v>5932.3509999999997</v>
      </c>
      <c r="M187">
        <v>73.087999999999994</v>
      </c>
      <c r="N187">
        <v>322</v>
      </c>
      <c r="O187">
        <v>485</v>
      </c>
      <c r="P187">
        <v>0</v>
      </c>
      <c r="Q187">
        <v>319</v>
      </c>
      <c r="R187">
        <v>352</v>
      </c>
    </row>
    <row r="188" spans="1:18" x14ac:dyDescent="0.35">
      <c r="A188" s="3">
        <v>40360</v>
      </c>
      <c r="B188" s="4">
        <f t="shared" si="4"/>
        <v>7</v>
      </c>
      <c r="C188" s="4">
        <f t="shared" si="5"/>
        <v>2010</v>
      </c>
      <c r="D188">
        <v>1937.0853999999999</v>
      </c>
      <c r="E188">
        <v>36.434800000000003</v>
      </c>
      <c r="F188">
        <v>0</v>
      </c>
      <c r="G188">
        <v>1866.1519000000001</v>
      </c>
      <c r="H188">
        <v>34.498699999999999</v>
      </c>
      <c r="I188">
        <v>5911.6949999999997</v>
      </c>
      <c r="J188">
        <v>74.132999999999996</v>
      </c>
      <c r="K188">
        <v>0</v>
      </c>
      <c r="L188">
        <v>5761.9579999999996</v>
      </c>
      <c r="M188">
        <v>75.603999999999999</v>
      </c>
      <c r="N188">
        <v>328</v>
      </c>
      <c r="O188">
        <v>491</v>
      </c>
      <c r="P188">
        <v>0</v>
      </c>
      <c r="Q188">
        <v>324</v>
      </c>
      <c r="R188">
        <v>456</v>
      </c>
    </row>
    <row r="189" spans="1:18" x14ac:dyDescent="0.35">
      <c r="A189" s="3">
        <v>40391</v>
      </c>
      <c r="B189" s="4">
        <f t="shared" si="4"/>
        <v>8</v>
      </c>
      <c r="C189" s="4">
        <f t="shared" si="5"/>
        <v>2010</v>
      </c>
      <c r="D189">
        <v>2022.7420999999999</v>
      </c>
      <c r="E189">
        <v>32.615699999999997</v>
      </c>
      <c r="F189">
        <v>0</v>
      </c>
      <c r="G189">
        <v>1957.9413999999999</v>
      </c>
      <c r="H189">
        <v>32.185000000000002</v>
      </c>
      <c r="I189">
        <v>6203.4719999999998</v>
      </c>
      <c r="J189">
        <v>68.034999999999997</v>
      </c>
      <c r="K189">
        <v>0</v>
      </c>
      <c r="L189">
        <v>6069.5510000000004</v>
      </c>
      <c r="M189">
        <v>65.885999999999996</v>
      </c>
      <c r="N189">
        <v>326</v>
      </c>
      <c r="O189">
        <v>479</v>
      </c>
      <c r="P189">
        <v>0</v>
      </c>
      <c r="Q189">
        <v>323</v>
      </c>
      <c r="R189">
        <v>488</v>
      </c>
    </row>
    <row r="190" spans="1:18" x14ac:dyDescent="0.35">
      <c r="A190" s="3">
        <v>40422</v>
      </c>
      <c r="B190" s="4">
        <f t="shared" si="4"/>
        <v>9</v>
      </c>
      <c r="C190" s="4">
        <f t="shared" si="5"/>
        <v>2010</v>
      </c>
      <c r="D190">
        <v>1774.9576999999999</v>
      </c>
      <c r="E190">
        <v>25.502400000000002</v>
      </c>
      <c r="F190">
        <v>0</v>
      </c>
      <c r="G190">
        <v>1731.7167999999999</v>
      </c>
      <c r="H190">
        <v>17.738499999999998</v>
      </c>
      <c r="I190">
        <v>5681.3580000000002</v>
      </c>
      <c r="J190">
        <v>55.134999999999998</v>
      </c>
      <c r="K190">
        <v>0</v>
      </c>
      <c r="L190">
        <v>5583.4920000000002</v>
      </c>
      <c r="M190">
        <v>42.731000000000002</v>
      </c>
      <c r="N190">
        <v>312</v>
      </c>
      <c r="O190">
        <v>463</v>
      </c>
      <c r="P190">
        <v>0</v>
      </c>
      <c r="Q190">
        <v>310</v>
      </c>
      <c r="R190">
        <v>415</v>
      </c>
    </row>
    <row r="191" spans="1:18" x14ac:dyDescent="0.35">
      <c r="A191" s="3">
        <v>40452</v>
      </c>
      <c r="B191" s="4">
        <f t="shared" si="4"/>
        <v>10</v>
      </c>
      <c r="C191" s="4">
        <f t="shared" si="5"/>
        <v>2010</v>
      </c>
      <c r="D191">
        <v>1784.3884</v>
      </c>
      <c r="E191">
        <v>26.033100000000001</v>
      </c>
      <c r="F191">
        <v>0</v>
      </c>
      <c r="G191">
        <v>1737.636</v>
      </c>
      <c r="H191">
        <v>20.7193</v>
      </c>
      <c r="I191">
        <v>5894.768</v>
      </c>
      <c r="J191">
        <v>55.88</v>
      </c>
      <c r="K191">
        <v>0</v>
      </c>
      <c r="L191">
        <v>5791.0230000000001</v>
      </c>
      <c r="M191">
        <v>47.865000000000002</v>
      </c>
      <c r="N191">
        <v>303</v>
      </c>
      <c r="O191">
        <v>466</v>
      </c>
      <c r="P191">
        <v>0</v>
      </c>
      <c r="Q191">
        <v>300</v>
      </c>
      <c r="R191">
        <v>433</v>
      </c>
    </row>
    <row r="192" spans="1:18" x14ac:dyDescent="0.35">
      <c r="A192" s="3">
        <v>40483</v>
      </c>
      <c r="B192" s="4">
        <f t="shared" si="4"/>
        <v>11</v>
      </c>
      <c r="C192" s="4">
        <f t="shared" si="5"/>
        <v>2010</v>
      </c>
      <c r="D192">
        <v>1678.5798</v>
      </c>
      <c r="E192">
        <v>28.7074</v>
      </c>
      <c r="F192">
        <v>0</v>
      </c>
      <c r="G192">
        <v>1622.1063999999999</v>
      </c>
      <c r="H192">
        <v>27.765899999999998</v>
      </c>
      <c r="I192">
        <v>5459.442</v>
      </c>
      <c r="J192">
        <v>59.265999999999998</v>
      </c>
      <c r="K192">
        <v>0</v>
      </c>
      <c r="L192">
        <v>5337.9780000000001</v>
      </c>
      <c r="M192">
        <v>62.198</v>
      </c>
      <c r="N192">
        <v>307</v>
      </c>
      <c r="O192">
        <v>484</v>
      </c>
      <c r="P192">
        <v>0</v>
      </c>
      <c r="Q192">
        <v>304</v>
      </c>
      <c r="R192">
        <v>446</v>
      </c>
    </row>
    <row r="193" spans="1:18" x14ac:dyDescent="0.35">
      <c r="A193" s="3">
        <v>40513</v>
      </c>
      <c r="B193" s="4">
        <f t="shared" si="4"/>
        <v>12</v>
      </c>
      <c r="C193" s="4">
        <f t="shared" si="5"/>
        <v>2010</v>
      </c>
      <c r="D193">
        <v>1767.7899</v>
      </c>
      <c r="E193">
        <v>39.735399999999998</v>
      </c>
      <c r="F193">
        <v>0</v>
      </c>
      <c r="G193">
        <v>1660.4372000000001</v>
      </c>
      <c r="H193">
        <v>67.6173</v>
      </c>
      <c r="I193">
        <v>5838.6840000000002</v>
      </c>
      <c r="J193">
        <v>80.274000000000001</v>
      </c>
      <c r="K193">
        <v>0</v>
      </c>
      <c r="L193">
        <v>5611.2280000000001</v>
      </c>
      <c r="M193">
        <v>147.18199999999999</v>
      </c>
      <c r="N193">
        <v>303</v>
      </c>
      <c r="O193">
        <v>495</v>
      </c>
      <c r="P193">
        <v>0</v>
      </c>
      <c r="Q193">
        <v>296</v>
      </c>
      <c r="R193">
        <v>459</v>
      </c>
    </row>
    <row r="194" spans="1:18" x14ac:dyDescent="0.35">
      <c r="A194" s="3">
        <v>40544</v>
      </c>
      <c r="B194" s="4">
        <f t="shared" si="4"/>
        <v>1</v>
      </c>
      <c r="C194" s="4">
        <f t="shared" si="5"/>
        <v>2011</v>
      </c>
      <c r="D194">
        <v>1443.6509000000001</v>
      </c>
      <c r="E194">
        <v>27.900600000000001</v>
      </c>
      <c r="F194">
        <v>0</v>
      </c>
      <c r="G194">
        <v>1389.4847</v>
      </c>
      <c r="H194">
        <v>26.265699999999999</v>
      </c>
      <c r="I194">
        <v>4854.1480000000001</v>
      </c>
      <c r="J194">
        <v>59.966000000000001</v>
      </c>
      <c r="K194">
        <v>0</v>
      </c>
      <c r="L194">
        <v>4736.5510000000004</v>
      </c>
      <c r="M194">
        <v>57.631</v>
      </c>
      <c r="N194">
        <v>297</v>
      </c>
      <c r="O194">
        <v>465</v>
      </c>
      <c r="P194">
        <v>0</v>
      </c>
      <c r="Q194">
        <v>293</v>
      </c>
      <c r="R194">
        <v>456</v>
      </c>
    </row>
    <row r="195" spans="1:18" x14ac:dyDescent="0.35">
      <c r="A195" s="3">
        <v>40575</v>
      </c>
      <c r="B195" s="4">
        <f t="shared" ref="B195:B258" si="6">MONTH(A195)</f>
        <v>2</v>
      </c>
      <c r="C195" s="4">
        <f t="shared" ref="C195:C258" si="7">YEAR(A195)</f>
        <v>2011</v>
      </c>
      <c r="D195">
        <v>1701.9788000000001</v>
      </c>
      <c r="E195">
        <v>12.669</v>
      </c>
      <c r="F195">
        <v>0</v>
      </c>
      <c r="G195">
        <v>1670.0453</v>
      </c>
      <c r="H195">
        <v>19.264399999999998</v>
      </c>
      <c r="I195">
        <v>5183.7079999999996</v>
      </c>
      <c r="J195">
        <v>26.433</v>
      </c>
      <c r="K195">
        <v>0</v>
      </c>
      <c r="L195">
        <v>5111.576</v>
      </c>
      <c r="M195">
        <v>45.698999999999998</v>
      </c>
      <c r="N195">
        <v>328</v>
      </c>
      <c r="O195">
        <v>479</v>
      </c>
      <c r="P195">
        <v>0</v>
      </c>
      <c r="Q195">
        <v>327</v>
      </c>
      <c r="R195">
        <v>422</v>
      </c>
    </row>
    <row r="196" spans="1:18" x14ac:dyDescent="0.35">
      <c r="A196" s="3">
        <v>40603</v>
      </c>
      <c r="B196" s="4">
        <f t="shared" si="6"/>
        <v>3</v>
      </c>
      <c r="C196" s="4">
        <f t="shared" si="7"/>
        <v>2011</v>
      </c>
      <c r="D196">
        <v>2117.8914</v>
      </c>
      <c r="E196">
        <v>16.8307</v>
      </c>
      <c r="F196">
        <v>0</v>
      </c>
      <c r="G196">
        <v>2075.9955</v>
      </c>
      <c r="H196">
        <v>25.065200000000001</v>
      </c>
      <c r="I196">
        <v>6161.482</v>
      </c>
      <c r="J196">
        <v>33.274000000000001</v>
      </c>
      <c r="K196">
        <v>0</v>
      </c>
      <c r="L196">
        <v>6077.2690000000002</v>
      </c>
      <c r="M196">
        <v>50.939</v>
      </c>
      <c r="N196">
        <v>344</v>
      </c>
      <c r="O196">
        <v>506</v>
      </c>
      <c r="P196">
        <v>0</v>
      </c>
      <c r="Q196">
        <v>342</v>
      </c>
      <c r="R196">
        <v>492</v>
      </c>
    </row>
    <row r="197" spans="1:18" x14ac:dyDescent="0.35">
      <c r="A197" s="3">
        <v>40634</v>
      </c>
      <c r="B197" s="4">
        <f t="shared" si="6"/>
        <v>4</v>
      </c>
      <c r="C197" s="4">
        <f t="shared" si="7"/>
        <v>2011</v>
      </c>
      <c r="D197">
        <v>1939.8625</v>
      </c>
      <c r="E197">
        <v>13.2834</v>
      </c>
      <c r="F197">
        <v>0</v>
      </c>
      <c r="G197">
        <v>1895.9443000000001</v>
      </c>
      <c r="H197">
        <v>30.634699999999999</v>
      </c>
      <c r="I197">
        <v>5850.2</v>
      </c>
      <c r="J197">
        <v>25.619</v>
      </c>
      <c r="K197">
        <v>0</v>
      </c>
      <c r="L197">
        <v>5751.2709999999997</v>
      </c>
      <c r="M197">
        <v>73.31</v>
      </c>
      <c r="N197">
        <v>332</v>
      </c>
      <c r="O197">
        <v>518</v>
      </c>
      <c r="P197">
        <v>0</v>
      </c>
      <c r="Q197">
        <v>330</v>
      </c>
      <c r="R197">
        <v>418</v>
      </c>
    </row>
    <row r="198" spans="1:18" x14ac:dyDescent="0.35">
      <c r="A198" s="3">
        <v>40664</v>
      </c>
      <c r="B198" s="4">
        <f t="shared" si="6"/>
        <v>5</v>
      </c>
      <c r="C198" s="4">
        <f t="shared" si="7"/>
        <v>2011</v>
      </c>
      <c r="D198">
        <v>2236.9868000000001</v>
      </c>
      <c r="E198">
        <v>13.9628</v>
      </c>
      <c r="F198">
        <v>0</v>
      </c>
      <c r="G198">
        <v>2198.1664000000001</v>
      </c>
      <c r="H198">
        <v>24.857700000000001</v>
      </c>
      <c r="I198">
        <v>7045.0439999999999</v>
      </c>
      <c r="J198">
        <v>30.736999999999998</v>
      </c>
      <c r="K198">
        <v>0</v>
      </c>
      <c r="L198">
        <v>6952.5879999999997</v>
      </c>
      <c r="M198">
        <v>61.719000000000001</v>
      </c>
      <c r="N198">
        <v>318</v>
      </c>
      <c r="O198">
        <v>454</v>
      </c>
      <c r="P198">
        <v>0</v>
      </c>
      <c r="Q198">
        <v>316</v>
      </c>
      <c r="R198">
        <v>403</v>
      </c>
    </row>
    <row r="199" spans="1:18" x14ac:dyDescent="0.35">
      <c r="A199" s="3">
        <v>40695</v>
      </c>
      <c r="B199" s="4">
        <f t="shared" si="6"/>
        <v>6</v>
      </c>
      <c r="C199" s="4">
        <f t="shared" si="7"/>
        <v>2011</v>
      </c>
      <c r="D199">
        <v>2089.4758999999999</v>
      </c>
      <c r="E199">
        <v>18.1144</v>
      </c>
      <c r="F199">
        <v>0</v>
      </c>
      <c r="G199">
        <v>2046.0513000000001</v>
      </c>
      <c r="H199">
        <v>25.310199999999998</v>
      </c>
      <c r="I199">
        <v>6219.0839999999998</v>
      </c>
      <c r="J199">
        <v>36.831000000000003</v>
      </c>
      <c r="K199">
        <v>0</v>
      </c>
      <c r="L199">
        <v>6114.9449999999997</v>
      </c>
      <c r="M199">
        <v>67.308000000000007</v>
      </c>
      <c r="N199">
        <v>336</v>
      </c>
      <c r="O199">
        <v>492</v>
      </c>
      <c r="P199">
        <v>0</v>
      </c>
      <c r="Q199">
        <v>335</v>
      </c>
      <c r="R199">
        <v>376</v>
      </c>
    </row>
    <row r="200" spans="1:18" x14ac:dyDescent="0.35">
      <c r="A200" s="3">
        <v>40725</v>
      </c>
      <c r="B200" s="4">
        <f t="shared" si="6"/>
        <v>7</v>
      </c>
      <c r="C200" s="4">
        <f t="shared" si="7"/>
        <v>2011</v>
      </c>
      <c r="D200">
        <v>1972.6129000000001</v>
      </c>
      <c r="E200">
        <v>16.704999999999998</v>
      </c>
      <c r="F200">
        <v>0</v>
      </c>
      <c r="G200">
        <v>1915.9556</v>
      </c>
      <c r="H200">
        <v>39.952300000000001</v>
      </c>
      <c r="I200">
        <v>6028.42</v>
      </c>
      <c r="J200">
        <v>34.56</v>
      </c>
      <c r="K200">
        <v>0</v>
      </c>
      <c r="L200">
        <v>5898.2939999999999</v>
      </c>
      <c r="M200">
        <v>95.566000000000003</v>
      </c>
      <c r="N200">
        <v>327</v>
      </c>
      <c r="O200">
        <v>483</v>
      </c>
      <c r="P200">
        <v>0</v>
      </c>
      <c r="Q200">
        <v>325</v>
      </c>
      <c r="R200">
        <v>418</v>
      </c>
    </row>
    <row r="201" spans="1:18" x14ac:dyDescent="0.35">
      <c r="A201" s="3">
        <v>40756</v>
      </c>
      <c r="B201" s="4">
        <f t="shared" si="6"/>
        <v>8</v>
      </c>
      <c r="C201" s="4">
        <f t="shared" si="7"/>
        <v>2011</v>
      </c>
      <c r="D201">
        <v>2216.8552</v>
      </c>
      <c r="E201">
        <v>17.516200000000001</v>
      </c>
      <c r="F201">
        <v>0</v>
      </c>
      <c r="G201">
        <v>2171.1046000000001</v>
      </c>
      <c r="H201">
        <v>28.234400000000001</v>
      </c>
      <c r="I201">
        <v>6507.3379999999997</v>
      </c>
      <c r="J201">
        <v>34.491999999999997</v>
      </c>
      <c r="K201">
        <v>0</v>
      </c>
      <c r="L201">
        <v>6399.04</v>
      </c>
      <c r="M201">
        <v>73.805999999999997</v>
      </c>
      <c r="N201">
        <v>341</v>
      </c>
      <c r="O201">
        <v>508</v>
      </c>
      <c r="P201">
        <v>0</v>
      </c>
      <c r="Q201">
        <v>339</v>
      </c>
      <c r="R201">
        <v>383</v>
      </c>
    </row>
    <row r="202" spans="1:18" x14ac:dyDescent="0.35">
      <c r="A202" s="3">
        <v>40787</v>
      </c>
      <c r="B202" s="4">
        <f t="shared" si="6"/>
        <v>9</v>
      </c>
      <c r="C202" s="4">
        <f t="shared" si="7"/>
        <v>2011</v>
      </c>
      <c r="D202">
        <v>2157.5536999999999</v>
      </c>
      <c r="E202">
        <v>17.614999999999998</v>
      </c>
      <c r="F202">
        <v>0</v>
      </c>
      <c r="G202">
        <v>2115.5904999999998</v>
      </c>
      <c r="H202">
        <v>24.348299999999998</v>
      </c>
      <c r="I202">
        <v>6181.7579999999998</v>
      </c>
      <c r="J202">
        <v>35.64</v>
      </c>
      <c r="K202">
        <v>0</v>
      </c>
      <c r="L202">
        <v>6098.2920000000004</v>
      </c>
      <c r="M202">
        <v>47.826000000000001</v>
      </c>
      <c r="N202">
        <v>349</v>
      </c>
      <c r="O202">
        <v>494</v>
      </c>
      <c r="P202">
        <v>0</v>
      </c>
      <c r="Q202">
        <v>347</v>
      </c>
      <c r="R202">
        <v>509</v>
      </c>
    </row>
    <row r="203" spans="1:18" x14ac:dyDescent="0.35">
      <c r="A203" s="3">
        <v>40817</v>
      </c>
      <c r="B203" s="4">
        <f t="shared" si="6"/>
        <v>10</v>
      </c>
      <c r="C203" s="4">
        <f t="shared" si="7"/>
        <v>2011</v>
      </c>
      <c r="D203">
        <v>1976.2471</v>
      </c>
      <c r="E203">
        <v>15.300800000000001</v>
      </c>
      <c r="F203">
        <v>0</v>
      </c>
      <c r="G203">
        <v>1937.0669</v>
      </c>
      <c r="H203">
        <v>23.8794</v>
      </c>
      <c r="I203">
        <v>6205.902</v>
      </c>
      <c r="J203">
        <v>32.631999999999998</v>
      </c>
      <c r="K203">
        <v>0</v>
      </c>
      <c r="L203">
        <v>6121.5959999999995</v>
      </c>
      <c r="M203">
        <v>51.673999999999999</v>
      </c>
      <c r="N203">
        <v>318</v>
      </c>
      <c r="O203">
        <v>469</v>
      </c>
      <c r="P203">
        <v>0</v>
      </c>
      <c r="Q203">
        <v>316</v>
      </c>
      <c r="R203">
        <v>462</v>
      </c>
    </row>
    <row r="204" spans="1:18" x14ac:dyDescent="0.35">
      <c r="A204" s="3">
        <v>40848</v>
      </c>
      <c r="B204" s="4">
        <f t="shared" si="6"/>
        <v>11</v>
      </c>
      <c r="C204" s="4">
        <f t="shared" si="7"/>
        <v>2011</v>
      </c>
      <c r="D204">
        <v>1850.3941</v>
      </c>
      <c r="E204">
        <v>16.292000000000002</v>
      </c>
      <c r="F204">
        <v>0</v>
      </c>
      <c r="G204">
        <v>1798.9176</v>
      </c>
      <c r="H204">
        <v>35.184399999999997</v>
      </c>
      <c r="I204">
        <v>5668.9570000000003</v>
      </c>
      <c r="J204">
        <v>34.226999999999997</v>
      </c>
      <c r="K204">
        <v>0</v>
      </c>
      <c r="L204">
        <v>5546.5230000000001</v>
      </c>
      <c r="M204">
        <v>88.206999999999994</v>
      </c>
      <c r="N204">
        <v>326</v>
      </c>
      <c r="O204">
        <v>476</v>
      </c>
      <c r="P204">
        <v>0</v>
      </c>
      <c r="Q204">
        <v>324</v>
      </c>
      <c r="R204">
        <v>399</v>
      </c>
    </row>
    <row r="205" spans="1:18" x14ac:dyDescent="0.35">
      <c r="A205" s="3">
        <v>40878</v>
      </c>
      <c r="B205" s="4">
        <f t="shared" si="6"/>
        <v>12</v>
      </c>
      <c r="C205" s="4">
        <f t="shared" si="7"/>
        <v>2011</v>
      </c>
      <c r="D205">
        <v>1843.8366000000001</v>
      </c>
      <c r="E205">
        <v>20.6173</v>
      </c>
      <c r="F205">
        <v>0</v>
      </c>
      <c r="G205">
        <v>1758.9281000000001</v>
      </c>
      <c r="H205">
        <v>64.291200000000003</v>
      </c>
      <c r="I205">
        <v>6174.473</v>
      </c>
      <c r="J205">
        <v>42.862000000000002</v>
      </c>
      <c r="K205">
        <v>0</v>
      </c>
      <c r="L205">
        <v>5964.7879999999996</v>
      </c>
      <c r="M205">
        <v>166.82300000000001</v>
      </c>
      <c r="N205">
        <v>299</v>
      </c>
      <c r="O205">
        <v>481</v>
      </c>
      <c r="P205">
        <v>0</v>
      </c>
      <c r="Q205">
        <v>295</v>
      </c>
      <c r="R205">
        <v>385</v>
      </c>
    </row>
    <row r="206" spans="1:18" x14ac:dyDescent="0.35">
      <c r="A206" s="3">
        <v>40909</v>
      </c>
      <c r="B206" s="4">
        <f t="shared" si="6"/>
        <v>1</v>
      </c>
      <c r="C206" s="4">
        <f t="shared" si="7"/>
        <v>2012</v>
      </c>
      <c r="D206">
        <v>1555.5014000000001</v>
      </c>
      <c r="E206">
        <v>15.794</v>
      </c>
      <c r="F206">
        <v>0</v>
      </c>
      <c r="G206">
        <v>1507.2125000000001</v>
      </c>
      <c r="H206">
        <v>32.494799999999998</v>
      </c>
      <c r="I206">
        <v>5269.9440000000004</v>
      </c>
      <c r="J206">
        <v>33.674999999999997</v>
      </c>
      <c r="K206">
        <v>0</v>
      </c>
      <c r="L206">
        <v>5172.8310000000001</v>
      </c>
      <c r="M206">
        <v>63.438000000000002</v>
      </c>
      <c r="N206">
        <v>295</v>
      </c>
      <c r="O206">
        <v>469</v>
      </c>
      <c r="P206">
        <v>0</v>
      </c>
      <c r="Q206">
        <v>291</v>
      </c>
      <c r="R206">
        <v>512</v>
      </c>
    </row>
    <row r="207" spans="1:18" x14ac:dyDescent="0.35">
      <c r="A207" s="3">
        <v>40940</v>
      </c>
      <c r="B207" s="4">
        <f t="shared" si="6"/>
        <v>2</v>
      </c>
      <c r="C207" s="4">
        <f t="shared" si="7"/>
        <v>2012</v>
      </c>
      <c r="D207">
        <v>1852.2529</v>
      </c>
      <c r="E207">
        <v>15.2874</v>
      </c>
      <c r="F207">
        <v>0</v>
      </c>
      <c r="G207">
        <v>1818.4289000000001</v>
      </c>
      <c r="H207">
        <v>18.5366</v>
      </c>
      <c r="I207">
        <v>5768.6220000000003</v>
      </c>
      <c r="J207">
        <v>32.185000000000002</v>
      </c>
      <c r="K207">
        <v>0</v>
      </c>
      <c r="L207">
        <v>5691.4250000000002</v>
      </c>
      <c r="M207">
        <v>45.012</v>
      </c>
      <c r="N207">
        <v>321</v>
      </c>
      <c r="O207">
        <v>475</v>
      </c>
      <c r="P207">
        <v>0</v>
      </c>
      <c r="Q207">
        <v>320</v>
      </c>
      <c r="R207">
        <v>412</v>
      </c>
    </row>
    <row r="208" spans="1:18" x14ac:dyDescent="0.35">
      <c r="A208" s="3">
        <v>40969</v>
      </c>
      <c r="B208" s="4">
        <f t="shared" si="6"/>
        <v>3</v>
      </c>
      <c r="C208" s="4">
        <f t="shared" si="7"/>
        <v>2012</v>
      </c>
      <c r="D208">
        <v>2164.5086999999999</v>
      </c>
      <c r="E208">
        <v>17.566099999999999</v>
      </c>
      <c r="F208">
        <v>0</v>
      </c>
      <c r="G208">
        <v>2114.3697000000002</v>
      </c>
      <c r="H208">
        <v>32.573</v>
      </c>
      <c r="I208">
        <v>6435.9889999999996</v>
      </c>
      <c r="J208">
        <v>34.506999999999998</v>
      </c>
      <c r="K208">
        <v>0</v>
      </c>
      <c r="L208">
        <v>6314.1109999999999</v>
      </c>
      <c r="M208">
        <v>87.370999999999995</v>
      </c>
      <c r="N208">
        <v>336</v>
      </c>
      <c r="O208">
        <v>509</v>
      </c>
      <c r="P208">
        <v>0</v>
      </c>
      <c r="Q208">
        <v>335</v>
      </c>
      <c r="R208">
        <v>373</v>
      </c>
    </row>
    <row r="209" spans="1:18" x14ac:dyDescent="0.35">
      <c r="A209" s="3">
        <v>41000</v>
      </c>
      <c r="B209" s="4">
        <f t="shared" si="6"/>
        <v>4</v>
      </c>
      <c r="C209" s="4">
        <f t="shared" si="7"/>
        <v>2012</v>
      </c>
      <c r="D209">
        <v>2104.2748999999999</v>
      </c>
      <c r="E209">
        <v>16.770399999999999</v>
      </c>
      <c r="F209">
        <v>0</v>
      </c>
      <c r="G209">
        <v>2057.8847999999998</v>
      </c>
      <c r="H209">
        <v>29.619700000000002</v>
      </c>
      <c r="I209">
        <v>6299.0870000000004</v>
      </c>
      <c r="J209">
        <v>31.795000000000002</v>
      </c>
      <c r="K209">
        <v>0</v>
      </c>
      <c r="L209">
        <v>6200.4210000000003</v>
      </c>
      <c r="M209">
        <v>66.870999999999995</v>
      </c>
      <c r="N209">
        <v>334</v>
      </c>
      <c r="O209">
        <v>527</v>
      </c>
      <c r="P209">
        <v>0</v>
      </c>
      <c r="Q209">
        <v>332</v>
      </c>
      <c r="R209">
        <v>443</v>
      </c>
    </row>
    <row r="210" spans="1:18" x14ac:dyDescent="0.35">
      <c r="A210" s="3">
        <v>41030</v>
      </c>
      <c r="B210" s="4">
        <f t="shared" si="6"/>
        <v>5</v>
      </c>
      <c r="C210" s="4">
        <f t="shared" si="7"/>
        <v>2012</v>
      </c>
      <c r="D210">
        <v>2429.1369</v>
      </c>
      <c r="E210">
        <v>20.2651</v>
      </c>
      <c r="F210">
        <v>0</v>
      </c>
      <c r="G210">
        <v>2378.2820999999999</v>
      </c>
      <c r="H210">
        <v>30.5898</v>
      </c>
      <c r="I210">
        <v>7337.2650000000003</v>
      </c>
      <c r="J210">
        <v>40.728999999999999</v>
      </c>
      <c r="K210">
        <v>0</v>
      </c>
      <c r="L210">
        <v>7233.866</v>
      </c>
      <c r="M210">
        <v>62.67</v>
      </c>
      <c r="N210">
        <v>331</v>
      </c>
      <c r="O210">
        <v>498</v>
      </c>
      <c r="P210">
        <v>0</v>
      </c>
      <c r="Q210">
        <v>329</v>
      </c>
      <c r="R210">
        <v>488</v>
      </c>
    </row>
    <row r="211" spans="1:18" x14ac:dyDescent="0.35">
      <c r="A211" s="3">
        <v>41061</v>
      </c>
      <c r="B211" s="4">
        <f t="shared" si="6"/>
        <v>6</v>
      </c>
      <c r="C211" s="4">
        <f t="shared" si="7"/>
        <v>2012</v>
      </c>
      <c r="D211">
        <v>2167.6113</v>
      </c>
      <c r="E211">
        <v>16.226400000000002</v>
      </c>
      <c r="F211">
        <v>0</v>
      </c>
      <c r="G211">
        <v>2116.7539000000002</v>
      </c>
      <c r="H211">
        <v>34.631</v>
      </c>
      <c r="I211">
        <v>6503.3119999999999</v>
      </c>
      <c r="J211">
        <v>32.241999999999997</v>
      </c>
      <c r="K211">
        <v>0</v>
      </c>
      <c r="L211">
        <v>6392.65</v>
      </c>
      <c r="M211">
        <v>78.42</v>
      </c>
      <c r="N211">
        <v>333</v>
      </c>
      <c r="O211">
        <v>503</v>
      </c>
      <c r="P211">
        <v>0</v>
      </c>
      <c r="Q211">
        <v>331</v>
      </c>
      <c r="R211">
        <v>442</v>
      </c>
    </row>
    <row r="212" spans="1:18" x14ac:dyDescent="0.35">
      <c r="A212" s="3">
        <v>41091</v>
      </c>
      <c r="B212" s="4">
        <f t="shared" si="6"/>
        <v>7</v>
      </c>
      <c r="C212" s="4">
        <f t="shared" si="7"/>
        <v>2012</v>
      </c>
      <c r="D212">
        <v>1926.9582</v>
      </c>
      <c r="E212">
        <v>17.2881</v>
      </c>
      <c r="F212">
        <v>0</v>
      </c>
      <c r="G212">
        <v>1868.0817</v>
      </c>
      <c r="H212">
        <v>41.588299999999997</v>
      </c>
      <c r="I212">
        <v>6120.576</v>
      </c>
      <c r="J212">
        <v>35.085999999999999</v>
      </c>
      <c r="K212">
        <v>0</v>
      </c>
      <c r="L212">
        <v>5995.1719999999996</v>
      </c>
      <c r="M212">
        <v>90.317999999999998</v>
      </c>
      <c r="N212">
        <v>315</v>
      </c>
      <c r="O212">
        <v>493</v>
      </c>
      <c r="P212">
        <v>0</v>
      </c>
      <c r="Q212">
        <v>312</v>
      </c>
      <c r="R212">
        <v>460</v>
      </c>
    </row>
    <row r="213" spans="1:18" x14ac:dyDescent="0.35">
      <c r="A213" s="3">
        <v>41122</v>
      </c>
      <c r="B213" s="4">
        <f t="shared" si="6"/>
        <v>8</v>
      </c>
      <c r="C213" s="4">
        <f t="shared" si="7"/>
        <v>2012</v>
      </c>
      <c r="D213">
        <v>1967.1665</v>
      </c>
      <c r="E213">
        <v>15.8767</v>
      </c>
      <c r="F213">
        <v>0</v>
      </c>
      <c r="G213">
        <v>1922.6473000000001</v>
      </c>
      <c r="H213">
        <v>28.642600000000002</v>
      </c>
      <c r="I213">
        <v>6451.14</v>
      </c>
      <c r="J213">
        <v>32.899000000000001</v>
      </c>
      <c r="K213">
        <v>0</v>
      </c>
      <c r="L213">
        <v>6348.1090000000004</v>
      </c>
      <c r="M213">
        <v>70.132000000000005</v>
      </c>
      <c r="N213">
        <v>305</v>
      </c>
      <c r="O213">
        <v>483</v>
      </c>
      <c r="P213">
        <v>0</v>
      </c>
      <c r="Q213">
        <v>303</v>
      </c>
      <c r="R213">
        <v>408</v>
      </c>
    </row>
    <row r="214" spans="1:18" x14ac:dyDescent="0.35">
      <c r="A214" s="3">
        <v>41153</v>
      </c>
      <c r="B214" s="4">
        <f t="shared" si="6"/>
        <v>9</v>
      </c>
      <c r="C214" s="4">
        <f t="shared" si="7"/>
        <v>2012</v>
      </c>
      <c r="D214">
        <v>1734.3221000000001</v>
      </c>
      <c r="E214">
        <v>11.7498</v>
      </c>
      <c r="F214">
        <v>0</v>
      </c>
      <c r="G214">
        <v>1700.9547</v>
      </c>
      <c r="H214">
        <v>21.617599999999999</v>
      </c>
      <c r="I214">
        <v>5845.1530000000002</v>
      </c>
      <c r="J214">
        <v>25.367999999999999</v>
      </c>
      <c r="K214">
        <v>0</v>
      </c>
      <c r="L214">
        <v>5768.7969999999996</v>
      </c>
      <c r="M214">
        <v>50.988</v>
      </c>
      <c r="N214">
        <v>297</v>
      </c>
      <c r="O214">
        <v>463</v>
      </c>
      <c r="P214">
        <v>0</v>
      </c>
      <c r="Q214">
        <v>295</v>
      </c>
      <c r="R214">
        <v>424</v>
      </c>
    </row>
    <row r="215" spans="1:18" x14ac:dyDescent="0.35">
      <c r="A215" s="3">
        <v>41183</v>
      </c>
      <c r="B215" s="4">
        <f t="shared" si="6"/>
        <v>10</v>
      </c>
      <c r="C215" s="4">
        <f t="shared" si="7"/>
        <v>2012</v>
      </c>
      <c r="D215">
        <v>1848.5677000000001</v>
      </c>
      <c r="E215">
        <v>15.251300000000001</v>
      </c>
      <c r="F215">
        <v>0</v>
      </c>
      <c r="G215">
        <v>1811.385</v>
      </c>
      <c r="H215">
        <v>21.9315</v>
      </c>
      <c r="I215">
        <v>6164.4430000000002</v>
      </c>
      <c r="J215">
        <v>31.780999999999999</v>
      </c>
      <c r="K215">
        <v>0</v>
      </c>
      <c r="L215">
        <v>6083.8180000000002</v>
      </c>
      <c r="M215">
        <v>48.844000000000001</v>
      </c>
      <c r="N215">
        <v>300</v>
      </c>
      <c r="O215">
        <v>480</v>
      </c>
      <c r="P215">
        <v>0</v>
      </c>
      <c r="Q215">
        <v>298</v>
      </c>
      <c r="R215">
        <v>449</v>
      </c>
    </row>
    <row r="216" spans="1:18" x14ac:dyDescent="0.35">
      <c r="A216" s="3">
        <v>41214</v>
      </c>
      <c r="B216" s="4">
        <f t="shared" si="6"/>
        <v>11</v>
      </c>
      <c r="C216" s="4">
        <f t="shared" si="7"/>
        <v>2012</v>
      </c>
      <c r="D216">
        <v>1762.57</v>
      </c>
      <c r="E216">
        <v>13.946899999999999</v>
      </c>
      <c r="F216">
        <v>0</v>
      </c>
      <c r="G216">
        <v>1718.4148</v>
      </c>
      <c r="H216">
        <v>30.208300000000001</v>
      </c>
      <c r="I216">
        <v>5845.7160000000003</v>
      </c>
      <c r="J216">
        <v>27.22</v>
      </c>
      <c r="K216">
        <v>0</v>
      </c>
      <c r="L216">
        <v>5747.7449999999999</v>
      </c>
      <c r="M216">
        <v>70.751000000000005</v>
      </c>
      <c r="N216">
        <v>302</v>
      </c>
      <c r="O216">
        <v>512</v>
      </c>
      <c r="P216">
        <v>0</v>
      </c>
      <c r="Q216">
        <v>299</v>
      </c>
      <c r="R216">
        <v>427</v>
      </c>
    </row>
    <row r="217" spans="1:18" x14ac:dyDescent="0.35">
      <c r="A217" s="3">
        <v>41244</v>
      </c>
      <c r="B217" s="4">
        <f t="shared" si="6"/>
        <v>12</v>
      </c>
      <c r="C217" s="4">
        <f t="shared" si="7"/>
        <v>2012</v>
      </c>
      <c r="D217">
        <v>1773.4015999999999</v>
      </c>
      <c r="E217">
        <v>18.808199999999999</v>
      </c>
      <c r="F217">
        <v>0</v>
      </c>
      <c r="G217">
        <v>1691.1242</v>
      </c>
      <c r="H217">
        <v>63.469200000000001</v>
      </c>
      <c r="I217">
        <v>6080.0940000000001</v>
      </c>
      <c r="J217">
        <v>35.829000000000001</v>
      </c>
      <c r="K217">
        <v>0</v>
      </c>
      <c r="L217">
        <v>5911.6030000000001</v>
      </c>
      <c r="M217">
        <v>132.66200000000001</v>
      </c>
      <c r="N217">
        <v>292</v>
      </c>
      <c r="O217">
        <v>525</v>
      </c>
      <c r="P217">
        <v>0</v>
      </c>
      <c r="Q217">
        <v>286</v>
      </c>
      <c r="R217">
        <v>478</v>
      </c>
    </row>
    <row r="218" spans="1:18" x14ac:dyDescent="0.35">
      <c r="A218" s="3">
        <v>41275</v>
      </c>
      <c r="B218" s="4">
        <f t="shared" si="6"/>
        <v>1</v>
      </c>
      <c r="C218" s="4">
        <f t="shared" si="7"/>
        <v>2013</v>
      </c>
      <c r="D218">
        <v>1588.9104</v>
      </c>
      <c r="E218">
        <v>16.264399999999998</v>
      </c>
      <c r="F218">
        <v>0</v>
      </c>
      <c r="G218">
        <v>1547.0322000000001</v>
      </c>
      <c r="H218">
        <v>25.613700000000001</v>
      </c>
      <c r="I218">
        <v>5555.8959999999997</v>
      </c>
      <c r="J218">
        <v>32.045999999999999</v>
      </c>
      <c r="K218">
        <v>0</v>
      </c>
      <c r="L218">
        <v>5464.06</v>
      </c>
      <c r="M218">
        <v>59.79</v>
      </c>
      <c r="N218">
        <v>286</v>
      </c>
      <c r="O218">
        <v>508</v>
      </c>
      <c r="P218">
        <v>0</v>
      </c>
      <c r="Q218">
        <v>283</v>
      </c>
      <c r="R218">
        <v>428</v>
      </c>
    </row>
    <row r="219" spans="1:18" x14ac:dyDescent="0.35">
      <c r="A219" s="3">
        <v>41306</v>
      </c>
      <c r="B219" s="4">
        <f t="shared" si="6"/>
        <v>2</v>
      </c>
      <c r="C219" s="4">
        <f t="shared" si="7"/>
        <v>2013</v>
      </c>
      <c r="D219">
        <v>1721.9286999999999</v>
      </c>
      <c r="E219">
        <v>16.1508</v>
      </c>
      <c r="F219">
        <v>0</v>
      </c>
      <c r="G219">
        <v>1686.6429000000001</v>
      </c>
      <c r="H219">
        <v>19.135000000000002</v>
      </c>
      <c r="I219">
        <v>5887.28</v>
      </c>
      <c r="J219">
        <v>31.001000000000001</v>
      </c>
      <c r="K219">
        <v>0</v>
      </c>
      <c r="L219">
        <v>5808.6620000000003</v>
      </c>
      <c r="M219">
        <v>47.616999999999997</v>
      </c>
      <c r="N219">
        <v>292</v>
      </c>
      <c r="O219">
        <v>521</v>
      </c>
      <c r="P219">
        <v>0</v>
      </c>
      <c r="Q219">
        <v>290</v>
      </c>
      <c r="R219">
        <v>402</v>
      </c>
    </row>
    <row r="220" spans="1:18" x14ac:dyDescent="0.35">
      <c r="A220" s="3">
        <v>41334</v>
      </c>
      <c r="B220" s="4">
        <f t="shared" si="6"/>
        <v>3</v>
      </c>
      <c r="C220" s="4">
        <f t="shared" si="7"/>
        <v>2013</v>
      </c>
      <c r="D220">
        <v>1935.7183</v>
      </c>
      <c r="E220">
        <v>14.215999999999999</v>
      </c>
      <c r="F220">
        <v>0</v>
      </c>
      <c r="G220">
        <v>1899.0368000000001</v>
      </c>
      <c r="H220">
        <v>22.465499999999999</v>
      </c>
      <c r="I220">
        <v>6452.2</v>
      </c>
      <c r="J220">
        <v>28.2</v>
      </c>
      <c r="K220">
        <v>0</v>
      </c>
      <c r="L220">
        <v>6353.9740000000002</v>
      </c>
      <c r="M220">
        <v>70.025999999999996</v>
      </c>
      <c r="N220">
        <v>300</v>
      </c>
      <c r="O220">
        <v>504</v>
      </c>
      <c r="P220">
        <v>0</v>
      </c>
      <c r="Q220">
        <v>299</v>
      </c>
      <c r="R220">
        <v>321</v>
      </c>
    </row>
    <row r="221" spans="1:18" x14ac:dyDescent="0.35">
      <c r="A221" s="3">
        <v>41365</v>
      </c>
      <c r="B221" s="4">
        <f t="shared" si="6"/>
        <v>4</v>
      </c>
      <c r="C221" s="4">
        <f t="shared" si="7"/>
        <v>2013</v>
      </c>
      <c r="D221">
        <v>2050.7979999999998</v>
      </c>
      <c r="E221">
        <v>15.549799999999999</v>
      </c>
      <c r="F221">
        <v>0</v>
      </c>
      <c r="G221">
        <v>2013.6168</v>
      </c>
      <c r="H221">
        <v>21.631399999999999</v>
      </c>
      <c r="I221">
        <v>6878.3209999999999</v>
      </c>
      <c r="J221">
        <v>30.446999999999999</v>
      </c>
      <c r="K221">
        <v>0</v>
      </c>
      <c r="L221">
        <v>6794.64</v>
      </c>
      <c r="M221">
        <v>53.234000000000002</v>
      </c>
      <c r="N221">
        <v>298</v>
      </c>
      <c r="O221">
        <v>511</v>
      </c>
      <c r="P221">
        <v>0</v>
      </c>
      <c r="Q221">
        <v>296</v>
      </c>
      <c r="R221">
        <v>406</v>
      </c>
    </row>
    <row r="222" spans="1:18" x14ac:dyDescent="0.35">
      <c r="A222" s="3">
        <v>41395</v>
      </c>
      <c r="B222" s="4">
        <f t="shared" si="6"/>
        <v>5</v>
      </c>
      <c r="C222" s="4">
        <f t="shared" si="7"/>
        <v>2013</v>
      </c>
      <c r="D222">
        <v>2176.62</v>
      </c>
      <c r="E222">
        <v>16.372599999999998</v>
      </c>
      <c r="F222">
        <v>0</v>
      </c>
      <c r="G222">
        <v>2129.9265</v>
      </c>
      <c r="H222">
        <v>30.320900000000002</v>
      </c>
      <c r="I222">
        <v>7646.8710000000001</v>
      </c>
      <c r="J222">
        <v>32.314</v>
      </c>
      <c r="K222">
        <v>0</v>
      </c>
      <c r="L222">
        <v>7544.2629999999999</v>
      </c>
      <c r="M222">
        <v>70.293999999999997</v>
      </c>
      <c r="N222">
        <v>285</v>
      </c>
      <c r="O222">
        <v>507</v>
      </c>
      <c r="P222">
        <v>0</v>
      </c>
      <c r="Q222">
        <v>282</v>
      </c>
      <c r="R222">
        <v>431</v>
      </c>
    </row>
    <row r="223" spans="1:18" x14ac:dyDescent="0.35">
      <c r="A223" s="3">
        <v>41426</v>
      </c>
      <c r="B223" s="4">
        <f t="shared" si="6"/>
        <v>6</v>
      </c>
      <c r="C223" s="4">
        <f t="shared" si="7"/>
        <v>2013</v>
      </c>
      <c r="D223">
        <v>2067.0877999999998</v>
      </c>
      <c r="E223">
        <v>12.9922</v>
      </c>
      <c r="F223">
        <v>0</v>
      </c>
      <c r="G223">
        <v>2023.7974999999999</v>
      </c>
      <c r="H223">
        <v>30.298100000000002</v>
      </c>
      <c r="I223">
        <v>6871.598</v>
      </c>
      <c r="J223">
        <v>24.417000000000002</v>
      </c>
      <c r="K223">
        <v>0</v>
      </c>
      <c r="L223">
        <v>6765.84</v>
      </c>
      <c r="M223">
        <v>81.340999999999994</v>
      </c>
      <c r="N223">
        <v>301</v>
      </c>
      <c r="O223">
        <v>532</v>
      </c>
      <c r="P223">
        <v>0</v>
      </c>
      <c r="Q223">
        <v>299</v>
      </c>
      <c r="R223">
        <v>372</v>
      </c>
    </row>
    <row r="224" spans="1:18" x14ac:dyDescent="0.35">
      <c r="A224" s="3">
        <v>41456</v>
      </c>
      <c r="B224" s="4">
        <f t="shared" si="6"/>
        <v>7</v>
      </c>
      <c r="C224" s="4">
        <f t="shared" si="7"/>
        <v>2013</v>
      </c>
      <c r="D224">
        <v>1945.4920999999999</v>
      </c>
      <c r="E224">
        <v>13.442</v>
      </c>
      <c r="F224">
        <v>0</v>
      </c>
      <c r="G224">
        <v>1898.5469000000001</v>
      </c>
      <c r="H224">
        <v>33.5032</v>
      </c>
      <c r="I224">
        <v>6668.3270000000002</v>
      </c>
      <c r="J224">
        <v>25.414000000000001</v>
      </c>
      <c r="K224">
        <v>0</v>
      </c>
      <c r="L224">
        <v>6560.4319999999998</v>
      </c>
      <c r="M224">
        <v>82.480999999999995</v>
      </c>
      <c r="N224">
        <v>292</v>
      </c>
      <c r="O224">
        <v>529</v>
      </c>
      <c r="P224">
        <v>0</v>
      </c>
      <c r="Q224">
        <v>289</v>
      </c>
      <c r="R224">
        <v>406</v>
      </c>
    </row>
    <row r="225" spans="1:18" x14ac:dyDescent="0.35">
      <c r="A225" s="3">
        <v>41487</v>
      </c>
      <c r="B225" s="4">
        <f t="shared" si="6"/>
        <v>8</v>
      </c>
      <c r="C225" s="4">
        <f t="shared" si="7"/>
        <v>2013</v>
      </c>
      <c r="D225">
        <v>2024.0101</v>
      </c>
      <c r="E225">
        <v>14.416700000000001</v>
      </c>
      <c r="F225">
        <v>0</v>
      </c>
      <c r="G225">
        <v>1981.3608999999999</v>
      </c>
      <c r="H225">
        <v>28.232399999999998</v>
      </c>
      <c r="I225">
        <v>6840.4350000000004</v>
      </c>
      <c r="J225">
        <v>27.248000000000001</v>
      </c>
      <c r="K225">
        <v>0</v>
      </c>
      <c r="L225">
        <v>6751.7659999999996</v>
      </c>
      <c r="M225">
        <v>61.420999999999999</v>
      </c>
      <c r="N225">
        <v>296</v>
      </c>
      <c r="O225">
        <v>529</v>
      </c>
      <c r="P225">
        <v>0</v>
      </c>
      <c r="Q225">
        <v>293</v>
      </c>
      <c r="R225">
        <v>460</v>
      </c>
    </row>
    <row r="226" spans="1:18" x14ac:dyDescent="0.35">
      <c r="A226" s="3">
        <v>41518</v>
      </c>
      <c r="B226" s="4">
        <f t="shared" si="6"/>
        <v>9</v>
      </c>
      <c r="C226" s="4">
        <f t="shared" si="7"/>
        <v>2013</v>
      </c>
      <c r="D226">
        <v>1890.4585999999999</v>
      </c>
      <c r="E226">
        <v>12.4998</v>
      </c>
      <c r="F226">
        <v>0</v>
      </c>
      <c r="G226">
        <v>1856.3487</v>
      </c>
      <c r="H226">
        <v>21.610199999999999</v>
      </c>
      <c r="I226">
        <v>6624.4679999999998</v>
      </c>
      <c r="J226">
        <v>24.17</v>
      </c>
      <c r="K226">
        <v>0</v>
      </c>
      <c r="L226">
        <v>6555.2969999999996</v>
      </c>
      <c r="M226">
        <v>45.000999999999998</v>
      </c>
      <c r="N226">
        <v>285</v>
      </c>
      <c r="O226">
        <v>517</v>
      </c>
      <c r="P226">
        <v>0</v>
      </c>
      <c r="Q226">
        <v>283</v>
      </c>
      <c r="R226">
        <v>480</v>
      </c>
    </row>
    <row r="227" spans="1:18" x14ac:dyDescent="0.35">
      <c r="A227" s="3">
        <v>41548</v>
      </c>
      <c r="B227" s="4">
        <f t="shared" si="6"/>
        <v>10</v>
      </c>
      <c r="C227" s="4">
        <f t="shared" si="7"/>
        <v>2013</v>
      </c>
      <c r="D227">
        <v>1973.1587</v>
      </c>
      <c r="E227">
        <v>15.504099999999999</v>
      </c>
      <c r="F227">
        <v>0</v>
      </c>
      <c r="G227">
        <v>1931.6505999999999</v>
      </c>
      <c r="H227">
        <v>26.004000000000001</v>
      </c>
      <c r="I227">
        <v>6924.4319999999998</v>
      </c>
      <c r="J227">
        <v>31.305</v>
      </c>
      <c r="K227">
        <v>0</v>
      </c>
      <c r="L227">
        <v>6838.152</v>
      </c>
      <c r="M227">
        <v>54.975000000000001</v>
      </c>
      <c r="N227">
        <v>285</v>
      </c>
      <c r="O227">
        <v>495</v>
      </c>
      <c r="P227">
        <v>0</v>
      </c>
      <c r="Q227">
        <v>282</v>
      </c>
      <c r="R227">
        <v>473</v>
      </c>
    </row>
    <row r="228" spans="1:18" x14ac:dyDescent="0.35">
      <c r="A228" s="3">
        <v>41579</v>
      </c>
      <c r="B228" s="4">
        <f t="shared" si="6"/>
        <v>11</v>
      </c>
      <c r="C228" s="4">
        <f t="shared" si="7"/>
        <v>2013</v>
      </c>
      <c r="D228">
        <v>1796.2248</v>
      </c>
      <c r="E228">
        <v>28.791499999999999</v>
      </c>
      <c r="F228">
        <v>0</v>
      </c>
      <c r="G228">
        <v>1743.1061999999999</v>
      </c>
      <c r="H228">
        <v>24.327100000000002</v>
      </c>
      <c r="I228">
        <v>6208.5079999999998</v>
      </c>
      <c r="J228">
        <v>55.82</v>
      </c>
      <c r="K228">
        <v>0</v>
      </c>
      <c r="L228">
        <v>6084.7120000000004</v>
      </c>
      <c r="M228">
        <v>67.975999999999999</v>
      </c>
      <c r="N228">
        <v>289</v>
      </c>
      <c r="O228">
        <v>516</v>
      </c>
      <c r="P228">
        <v>0</v>
      </c>
      <c r="Q228">
        <v>286</v>
      </c>
      <c r="R228">
        <v>358</v>
      </c>
    </row>
    <row r="229" spans="1:18" x14ac:dyDescent="0.35">
      <c r="A229" s="3">
        <v>41609</v>
      </c>
      <c r="B229" s="4">
        <f t="shared" si="6"/>
        <v>12</v>
      </c>
      <c r="C229" s="4">
        <f t="shared" si="7"/>
        <v>2013</v>
      </c>
      <c r="D229">
        <v>1919.63</v>
      </c>
      <c r="E229">
        <v>42.0822</v>
      </c>
      <c r="F229">
        <v>0</v>
      </c>
      <c r="G229">
        <v>1825.6742999999999</v>
      </c>
      <c r="H229">
        <v>51.8735</v>
      </c>
      <c r="I229">
        <v>6776.808</v>
      </c>
      <c r="J229">
        <v>79.445999999999998</v>
      </c>
      <c r="K229">
        <v>0</v>
      </c>
      <c r="L229">
        <v>6558.7730000000001</v>
      </c>
      <c r="M229">
        <v>138.589</v>
      </c>
      <c r="N229">
        <v>283</v>
      </c>
      <c r="O229">
        <v>530</v>
      </c>
      <c r="P229">
        <v>0</v>
      </c>
      <c r="Q229">
        <v>278</v>
      </c>
      <c r="R229">
        <v>374</v>
      </c>
    </row>
    <row r="230" spans="1:18" x14ac:dyDescent="0.35">
      <c r="A230" s="3">
        <v>41640</v>
      </c>
      <c r="B230" s="4">
        <f t="shared" si="6"/>
        <v>1</v>
      </c>
      <c r="C230" s="4">
        <f t="shared" si="7"/>
        <v>2014</v>
      </c>
      <c r="D230">
        <v>1706.7546</v>
      </c>
      <c r="E230">
        <v>42.318800000000003</v>
      </c>
      <c r="F230">
        <v>0</v>
      </c>
      <c r="G230">
        <v>1629.4091000000001</v>
      </c>
      <c r="H230">
        <v>35.026699999999998</v>
      </c>
      <c r="I230">
        <v>5848.6459999999997</v>
      </c>
      <c r="J230">
        <v>81.813000000000002</v>
      </c>
      <c r="K230">
        <v>0</v>
      </c>
      <c r="L230">
        <v>5691.6719999999996</v>
      </c>
      <c r="M230">
        <v>75.161000000000001</v>
      </c>
      <c r="N230">
        <v>292</v>
      </c>
      <c r="O230">
        <v>517</v>
      </c>
      <c r="P230">
        <v>0</v>
      </c>
      <c r="Q230">
        <v>286</v>
      </c>
      <c r="R230">
        <v>466</v>
      </c>
    </row>
    <row r="231" spans="1:18" x14ac:dyDescent="0.35">
      <c r="A231" s="3">
        <v>41671</v>
      </c>
      <c r="B231" s="4">
        <f t="shared" si="6"/>
        <v>2</v>
      </c>
      <c r="C231" s="4">
        <f t="shared" si="7"/>
        <v>2014</v>
      </c>
      <c r="D231">
        <v>1788.2090000000001</v>
      </c>
      <c r="E231">
        <v>25.329899999999999</v>
      </c>
      <c r="F231">
        <v>0</v>
      </c>
      <c r="G231">
        <v>1736.7295999999999</v>
      </c>
      <c r="H231">
        <v>26.1496</v>
      </c>
      <c r="I231">
        <v>6049.1629999999996</v>
      </c>
      <c r="J231">
        <v>49.167999999999999</v>
      </c>
      <c r="K231">
        <v>0</v>
      </c>
      <c r="L231">
        <v>5931.4470000000001</v>
      </c>
      <c r="M231">
        <v>68.548000000000002</v>
      </c>
      <c r="N231">
        <v>296</v>
      </c>
      <c r="O231">
        <v>515</v>
      </c>
      <c r="P231">
        <v>0</v>
      </c>
      <c r="Q231">
        <v>293</v>
      </c>
      <c r="R231">
        <v>381</v>
      </c>
    </row>
    <row r="232" spans="1:18" x14ac:dyDescent="0.35">
      <c r="A232" s="3">
        <v>41699</v>
      </c>
      <c r="B232" s="4">
        <f t="shared" si="6"/>
        <v>3</v>
      </c>
      <c r="C232" s="4">
        <f t="shared" si="7"/>
        <v>2014</v>
      </c>
      <c r="D232">
        <v>2182.6248000000001</v>
      </c>
      <c r="E232">
        <v>22.0334</v>
      </c>
      <c r="F232">
        <v>0</v>
      </c>
      <c r="G232">
        <v>2130.0070000000001</v>
      </c>
      <c r="H232">
        <v>30.584399999999999</v>
      </c>
      <c r="I232">
        <v>7186.8670000000002</v>
      </c>
      <c r="J232">
        <v>41.694000000000003</v>
      </c>
      <c r="K232">
        <v>0</v>
      </c>
      <c r="L232">
        <v>7069.0209999999997</v>
      </c>
      <c r="M232">
        <v>76.152000000000001</v>
      </c>
      <c r="N232">
        <v>304</v>
      </c>
      <c r="O232">
        <v>528</v>
      </c>
      <c r="P232">
        <v>0</v>
      </c>
      <c r="Q232">
        <v>301</v>
      </c>
      <c r="R232">
        <v>402</v>
      </c>
    </row>
    <row r="233" spans="1:18" x14ac:dyDescent="0.35">
      <c r="A233" s="3">
        <v>41730</v>
      </c>
      <c r="B233" s="4">
        <f t="shared" si="6"/>
        <v>4</v>
      </c>
      <c r="C233" s="4">
        <f t="shared" si="7"/>
        <v>2014</v>
      </c>
      <c r="D233">
        <v>2056.9041999999999</v>
      </c>
      <c r="E233">
        <v>25.002800000000001</v>
      </c>
      <c r="F233">
        <v>0</v>
      </c>
      <c r="G233">
        <v>2003.1945000000001</v>
      </c>
      <c r="H233">
        <v>28.706900000000001</v>
      </c>
      <c r="I233">
        <v>6840.991</v>
      </c>
      <c r="J233">
        <v>48.354999999999997</v>
      </c>
      <c r="K233">
        <v>0</v>
      </c>
      <c r="L233">
        <v>6720.4089999999997</v>
      </c>
      <c r="M233">
        <v>72.227000000000004</v>
      </c>
      <c r="N233">
        <v>301</v>
      </c>
      <c r="O233">
        <v>517</v>
      </c>
      <c r="P233">
        <v>0</v>
      </c>
      <c r="Q233">
        <v>298</v>
      </c>
      <c r="R233">
        <v>397</v>
      </c>
    </row>
    <row r="234" spans="1:18" x14ac:dyDescent="0.35">
      <c r="A234" s="3">
        <v>41760</v>
      </c>
      <c r="B234" s="4">
        <f t="shared" si="6"/>
        <v>5</v>
      </c>
      <c r="C234" s="4">
        <f t="shared" si="7"/>
        <v>2014</v>
      </c>
      <c r="D234">
        <v>2234.0545000000002</v>
      </c>
      <c r="E234">
        <v>24.773099999999999</v>
      </c>
      <c r="F234">
        <v>0</v>
      </c>
      <c r="G234">
        <v>2176.9092000000001</v>
      </c>
      <c r="H234">
        <v>32.372199999999999</v>
      </c>
      <c r="I234">
        <v>7848.7179999999998</v>
      </c>
      <c r="J234">
        <v>51.161000000000001</v>
      </c>
      <c r="K234">
        <v>0</v>
      </c>
      <c r="L234">
        <v>7718.3649999999998</v>
      </c>
      <c r="M234">
        <v>79.191999999999993</v>
      </c>
      <c r="N234">
        <v>285</v>
      </c>
      <c r="O234">
        <v>484</v>
      </c>
      <c r="P234">
        <v>0</v>
      </c>
      <c r="Q234">
        <v>282</v>
      </c>
      <c r="R234">
        <v>409</v>
      </c>
    </row>
    <row r="235" spans="1:18" x14ac:dyDescent="0.35">
      <c r="A235" s="3">
        <v>41791</v>
      </c>
      <c r="B235" s="4">
        <f t="shared" si="6"/>
        <v>6</v>
      </c>
      <c r="C235" s="4">
        <f t="shared" si="7"/>
        <v>2014</v>
      </c>
      <c r="D235">
        <v>2095.8672000000001</v>
      </c>
      <c r="E235">
        <v>23.212399999999999</v>
      </c>
      <c r="F235">
        <v>0</v>
      </c>
      <c r="G235">
        <v>2031.7452000000001</v>
      </c>
      <c r="H235">
        <v>40.909599999999998</v>
      </c>
      <c r="I235">
        <v>7042.32</v>
      </c>
      <c r="J235">
        <v>46.015000000000001</v>
      </c>
      <c r="K235">
        <v>0</v>
      </c>
      <c r="L235">
        <v>6889.3580000000002</v>
      </c>
      <c r="M235">
        <v>106.947</v>
      </c>
      <c r="N235">
        <v>298</v>
      </c>
      <c r="O235">
        <v>504</v>
      </c>
      <c r="P235">
        <v>0</v>
      </c>
      <c r="Q235">
        <v>295</v>
      </c>
      <c r="R235">
        <v>383</v>
      </c>
    </row>
    <row r="236" spans="1:18" x14ac:dyDescent="0.35">
      <c r="A236" s="3">
        <v>41821</v>
      </c>
      <c r="B236" s="4">
        <f t="shared" si="6"/>
        <v>7</v>
      </c>
      <c r="C236" s="4">
        <f t="shared" si="7"/>
        <v>2014</v>
      </c>
      <c r="D236">
        <v>2051.0515999999998</v>
      </c>
      <c r="E236">
        <v>16.613399999999999</v>
      </c>
      <c r="F236">
        <v>0</v>
      </c>
      <c r="G236">
        <v>1989.0236</v>
      </c>
      <c r="H236">
        <v>45.4146</v>
      </c>
      <c r="I236">
        <v>6981.4560000000001</v>
      </c>
      <c r="J236">
        <v>33.095999999999997</v>
      </c>
      <c r="K236">
        <v>0</v>
      </c>
      <c r="L236">
        <v>6827.2420000000002</v>
      </c>
      <c r="M236">
        <v>121.11799999999999</v>
      </c>
      <c r="N236">
        <v>294</v>
      </c>
      <c r="O236">
        <v>502</v>
      </c>
      <c r="P236">
        <v>0</v>
      </c>
      <c r="Q236">
        <v>291</v>
      </c>
      <c r="R236">
        <v>375</v>
      </c>
    </row>
    <row r="237" spans="1:18" x14ac:dyDescent="0.35">
      <c r="A237" s="3">
        <v>41852</v>
      </c>
      <c r="B237" s="4">
        <f t="shared" si="6"/>
        <v>8</v>
      </c>
      <c r="C237" s="4">
        <f t="shared" si="7"/>
        <v>2014</v>
      </c>
      <c r="D237">
        <v>2057.7782000000002</v>
      </c>
      <c r="E237">
        <v>15.9162</v>
      </c>
      <c r="F237">
        <v>0</v>
      </c>
      <c r="G237">
        <v>2007.7393999999999</v>
      </c>
      <c r="H237">
        <v>34.122599999999998</v>
      </c>
      <c r="I237">
        <v>7043.5680000000002</v>
      </c>
      <c r="J237">
        <v>33.661999999999999</v>
      </c>
      <c r="K237">
        <v>0</v>
      </c>
      <c r="L237">
        <v>6916.634</v>
      </c>
      <c r="M237">
        <v>93.272000000000006</v>
      </c>
      <c r="N237">
        <v>292</v>
      </c>
      <c r="O237">
        <v>473</v>
      </c>
      <c r="P237">
        <v>0</v>
      </c>
      <c r="Q237">
        <v>290</v>
      </c>
      <c r="R237">
        <v>366</v>
      </c>
    </row>
    <row r="238" spans="1:18" x14ac:dyDescent="0.35">
      <c r="A238" s="3">
        <v>41883</v>
      </c>
      <c r="B238" s="4">
        <f t="shared" si="6"/>
        <v>9</v>
      </c>
      <c r="C238" s="4">
        <f t="shared" si="7"/>
        <v>2014</v>
      </c>
      <c r="D238">
        <v>2015.0182</v>
      </c>
      <c r="E238">
        <v>16.7834</v>
      </c>
      <c r="F238">
        <v>0</v>
      </c>
      <c r="G238">
        <v>1964.4117000000001</v>
      </c>
      <c r="H238">
        <v>33.823099999999997</v>
      </c>
      <c r="I238">
        <v>6939.63</v>
      </c>
      <c r="J238">
        <v>34.64</v>
      </c>
      <c r="K238">
        <v>0</v>
      </c>
      <c r="L238">
        <v>6834.8270000000002</v>
      </c>
      <c r="M238">
        <v>70.162999999999997</v>
      </c>
      <c r="N238">
        <v>290</v>
      </c>
      <c r="O238">
        <v>485</v>
      </c>
      <c r="P238">
        <v>0</v>
      </c>
      <c r="Q238">
        <v>287</v>
      </c>
      <c r="R238">
        <v>482</v>
      </c>
    </row>
    <row r="239" spans="1:18" x14ac:dyDescent="0.35">
      <c r="A239" s="3">
        <v>41913</v>
      </c>
      <c r="B239" s="4">
        <f t="shared" si="6"/>
        <v>10</v>
      </c>
      <c r="C239" s="4">
        <f t="shared" si="7"/>
        <v>2014</v>
      </c>
      <c r="D239">
        <v>2097.4737</v>
      </c>
      <c r="E239">
        <v>17.472100000000001</v>
      </c>
      <c r="F239">
        <v>0</v>
      </c>
      <c r="G239">
        <v>2042.0535</v>
      </c>
      <c r="H239">
        <v>37.948099999999997</v>
      </c>
      <c r="I239">
        <v>7245.2719999999999</v>
      </c>
      <c r="J239">
        <v>34.197000000000003</v>
      </c>
      <c r="K239">
        <v>0</v>
      </c>
      <c r="L239">
        <v>7126.5780000000004</v>
      </c>
      <c r="M239">
        <v>84.497</v>
      </c>
      <c r="N239">
        <v>289</v>
      </c>
      <c r="O239">
        <v>511</v>
      </c>
      <c r="P239">
        <v>0</v>
      </c>
      <c r="Q239">
        <v>287</v>
      </c>
      <c r="R239">
        <v>449</v>
      </c>
    </row>
    <row r="240" spans="1:18" x14ac:dyDescent="0.35">
      <c r="A240" s="3">
        <v>41944</v>
      </c>
      <c r="B240" s="4">
        <f t="shared" si="6"/>
        <v>11</v>
      </c>
      <c r="C240" s="4">
        <f t="shared" si="7"/>
        <v>2014</v>
      </c>
      <c r="D240">
        <v>1824.4766</v>
      </c>
      <c r="E240">
        <v>16.130800000000001</v>
      </c>
      <c r="F240">
        <v>0</v>
      </c>
      <c r="G240">
        <v>1774.3967</v>
      </c>
      <c r="H240">
        <v>33.949100000000001</v>
      </c>
      <c r="I240">
        <v>6389.2269999999999</v>
      </c>
      <c r="J240">
        <v>31.335000000000001</v>
      </c>
      <c r="K240">
        <v>0</v>
      </c>
      <c r="L240">
        <v>6271.0770000000002</v>
      </c>
      <c r="M240">
        <v>86.814999999999998</v>
      </c>
      <c r="N240">
        <v>286</v>
      </c>
      <c r="O240">
        <v>515</v>
      </c>
      <c r="P240">
        <v>0</v>
      </c>
      <c r="Q240">
        <v>283</v>
      </c>
      <c r="R240">
        <v>391</v>
      </c>
    </row>
    <row r="241" spans="1:18" x14ac:dyDescent="0.35">
      <c r="A241" s="3">
        <v>41974</v>
      </c>
      <c r="B241" s="4">
        <f t="shared" si="6"/>
        <v>12</v>
      </c>
      <c r="C241" s="4">
        <f t="shared" si="7"/>
        <v>2014</v>
      </c>
      <c r="D241">
        <v>2291.6336000000001</v>
      </c>
      <c r="E241">
        <v>21.884699999999999</v>
      </c>
      <c r="F241">
        <v>0</v>
      </c>
      <c r="G241">
        <v>2183.1424000000002</v>
      </c>
      <c r="H241">
        <v>86.606499999999997</v>
      </c>
      <c r="I241">
        <v>7610.5630000000001</v>
      </c>
      <c r="J241">
        <v>40.252000000000002</v>
      </c>
      <c r="K241">
        <v>0</v>
      </c>
      <c r="L241">
        <v>7371.3850000000002</v>
      </c>
      <c r="M241">
        <v>198.92599999999999</v>
      </c>
      <c r="N241">
        <v>301</v>
      </c>
      <c r="O241">
        <v>544</v>
      </c>
      <c r="P241">
        <v>0</v>
      </c>
      <c r="Q241">
        <v>296</v>
      </c>
      <c r="R241">
        <v>435</v>
      </c>
    </row>
    <row r="242" spans="1:18" x14ac:dyDescent="0.35">
      <c r="A242" s="3">
        <v>42005</v>
      </c>
      <c r="B242" s="4">
        <f t="shared" si="6"/>
        <v>1</v>
      </c>
      <c r="C242" s="4">
        <f t="shared" si="7"/>
        <v>2015</v>
      </c>
      <c r="D242">
        <v>1671.4057</v>
      </c>
      <c r="E242">
        <v>20.4238</v>
      </c>
      <c r="F242">
        <v>0</v>
      </c>
      <c r="G242">
        <v>1610.6541999999999</v>
      </c>
      <c r="H242">
        <v>40.327599999999997</v>
      </c>
      <c r="I242">
        <v>6005.902</v>
      </c>
      <c r="J242">
        <v>39.868000000000002</v>
      </c>
      <c r="K242">
        <v>0</v>
      </c>
      <c r="L242">
        <v>5886.0469999999996</v>
      </c>
      <c r="M242">
        <v>79.986999999999995</v>
      </c>
      <c r="N242">
        <v>278</v>
      </c>
      <c r="O242">
        <v>512</v>
      </c>
      <c r="P242">
        <v>0</v>
      </c>
      <c r="Q242">
        <v>274</v>
      </c>
      <c r="R242">
        <v>504</v>
      </c>
    </row>
    <row r="243" spans="1:18" x14ac:dyDescent="0.35">
      <c r="A243" s="3">
        <v>42036</v>
      </c>
      <c r="B243" s="4">
        <f t="shared" si="6"/>
        <v>2</v>
      </c>
      <c r="C243" s="4">
        <f t="shared" si="7"/>
        <v>2015</v>
      </c>
      <c r="D243">
        <v>1893.1655000000001</v>
      </c>
      <c r="E243">
        <v>14.323700000000001</v>
      </c>
      <c r="F243">
        <v>0</v>
      </c>
      <c r="G243">
        <v>1842.8689999999999</v>
      </c>
      <c r="H243">
        <v>35.972799999999999</v>
      </c>
      <c r="I243">
        <v>6344.8119999999999</v>
      </c>
      <c r="J243">
        <v>27.478999999999999</v>
      </c>
      <c r="K243">
        <v>0</v>
      </c>
      <c r="L243">
        <v>6236.4</v>
      </c>
      <c r="M243">
        <v>80.933000000000007</v>
      </c>
      <c r="N243">
        <v>298</v>
      </c>
      <c r="O243">
        <v>521</v>
      </c>
      <c r="P243">
        <v>0</v>
      </c>
      <c r="Q243">
        <v>296</v>
      </c>
      <c r="R243">
        <v>444</v>
      </c>
    </row>
    <row r="244" spans="1:18" x14ac:dyDescent="0.35">
      <c r="A244" s="3">
        <v>42064</v>
      </c>
      <c r="B244" s="4">
        <f t="shared" si="6"/>
        <v>3</v>
      </c>
      <c r="C244" s="4">
        <f t="shared" si="7"/>
        <v>2015</v>
      </c>
      <c r="D244">
        <v>2305.4391999999998</v>
      </c>
      <c r="E244">
        <v>14.576000000000001</v>
      </c>
      <c r="F244">
        <v>0</v>
      </c>
      <c r="G244">
        <v>2255.0109000000002</v>
      </c>
      <c r="H244">
        <v>35.852400000000003</v>
      </c>
      <c r="I244">
        <v>7448.3450000000003</v>
      </c>
      <c r="J244">
        <v>27.675999999999998</v>
      </c>
      <c r="K244">
        <v>0</v>
      </c>
      <c r="L244">
        <v>7326.0140000000001</v>
      </c>
      <c r="M244">
        <v>94.655000000000001</v>
      </c>
      <c r="N244">
        <v>310</v>
      </c>
      <c r="O244">
        <v>527</v>
      </c>
      <c r="P244">
        <v>0</v>
      </c>
      <c r="Q244">
        <v>308</v>
      </c>
      <c r="R244">
        <v>379</v>
      </c>
    </row>
    <row r="245" spans="1:18" x14ac:dyDescent="0.35">
      <c r="A245" s="3">
        <v>42095</v>
      </c>
      <c r="B245" s="4">
        <f t="shared" si="6"/>
        <v>4</v>
      </c>
      <c r="C245" s="4">
        <f t="shared" si="7"/>
        <v>2015</v>
      </c>
      <c r="D245">
        <v>2047.7710999999999</v>
      </c>
      <c r="E245">
        <v>13.446899999999999</v>
      </c>
      <c r="F245">
        <v>0</v>
      </c>
      <c r="G245">
        <v>1993.4105999999999</v>
      </c>
      <c r="H245">
        <v>40.913499999999999</v>
      </c>
      <c r="I245">
        <v>6916.0709999999999</v>
      </c>
      <c r="J245">
        <v>25.547000000000001</v>
      </c>
      <c r="K245">
        <v>0</v>
      </c>
      <c r="L245">
        <v>6806.6409999999996</v>
      </c>
      <c r="M245">
        <v>83.882999999999996</v>
      </c>
      <c r="N245">
        <v>296</v>
      </c>
      <c r="O245">
        <v>526</v>
      </c>
      <c r="P245">
        <v>0</v>
      </c>
      <c r="Q245">
        <v>293</v>
      </c>
      <c r="R245">
        <v>488</v>
      </c>
    </row>
    <row r="246" spans="1:18" x14ac:dyDescent="0.35">
      <c r="A246" s="3">
        <v>42125</v>
      </c>
      <c r="B246" s="4">
        <f t="shared" si="6"/>
        <v>5</v>
      </c>
      <c r="C246" s="4">
        <f t="shared" si="7"/>
        <v>2015</v>
      </c>
      <c r="D246">
        <v>2247.4371999999998</v>
      </c>
      <c r="E246">
        <v>11.942299999999999</v>
      </c>
      <c r="F246">
        <v>0</v>
      </c>
      <c r="G246">
        <v>2194.7557000000002</v>
      </c>
      <c r="H246">
        <v>40.739199999999997</v>
      </c>
      <c r="I246">
        <v>8036.4160000000002</v>
      </c>
      <c r="J246">
        <v>24.030999999999999</v>
      </c>
      <c r="K246">
        <v>0</v>
      </c>
      <c r="L246">
        <v>7917.7510000000002</v>
      </c>
      <c r="M246">
        <v>94.634</v>
      </c>
      <c r="N246">
        <v>280</v>
      </c>
      <c r="O246">
        <v>497</v>
      </c>
      <c r="P246">
        <v>0</v>
      </c>
      <c r="Q246">
        <v>277</v>
      </c>
      <c r="R246">
        <v>430</v>
      </c>
    </row>
    <row r="247" spans="1:18" x14ac:dyDescent="0.35">
      <c r="A247" s="3">
        <v>42156</v>
      </c>
      <c r="B247" s="4">
        <f t="shared" si="6"/>
        <v>6</v>
      </c>
      <c r="C247" s="4">
        <f t="shared" si="7"/>
        <v>2015</v>
      </c>
      <c r="D247">
        <v>2198.2764999999999</v>
      </c>
      <c r="E247">
        <v>12.4983</v>
      </c>
      <c r="F247">
        <v>0</v>
      </c>
      <c r="G247">
        <v>2146.4036999999998</v>
      </c>
      <c r="H247">
        <v>39.374499999999998</v>
      </c>
      <c r="I247">
        <v>7437.4889999999996</v>
      </c>
      <c r="J247">
        <v>23.881</v>
      </c>
      <c r="K247">
        <v>0</v>
      </c>
      <c r="L247">
        <v>7297.3530000000001</v>
      </c>
      <c r="M247">
        <v>116.255</v>
      </c>
      <c r="N247">
        <v>296</v>
      </c>
      <c r="O247">
        <v>523</v>
      </c>
      <c r="P247">
        <v>0</v>
      </c>
      <c r="Q247">
        <v>294</v>
      </c>
      <c r="R247">
        <v>339</v>
      </c>
    </row>
    <row r="248" spans="1:18" x14ac:dyDescent="0.35">
      <c r="A248" s="3">
        <v>42186</v>
      </c>
      <c r="B248" s="4">
        <f t="shared" si="6"/>
        <v>7</v>
      </c>
      <c r="C248" s="4">
        <f t="shared" si="7"/>
        <v>2015</v>
      </c>
      <c r="D248">
        <v>2288.9386</v>
      </c>
      <c r="E248">
        <v>13.413500000000001</v>
      </c>
      <c r="F248">
        <v>0</v>
      </c>
      <c r="G248">
        <v>2232.808</v>
      </c>
      <c r="H248">
        <v>42.717100000000002</v>
      </c>
      <c r="I248">
        <v>7563.3559999999998</v>
      </c>
      <c r="J248">
        <v>24.478000000000002</v>
      </c>
      <c r="K248">
        <v>0</v>
      </c>
      <c r="L248">
        <v>7409.5379999999996</v>
      </c>
      <c r="M248">
        <v>129.34</v>
      </c>
      <c r="N248">
        <v>303</v>
      </c>
      <c r="O248">
        <v>548</v>
      </c>
      <c r="P248">
        <v>0</v>
      </c>
      <c r="Q248">
        <v>301</v>
      </c>
      <c r="R248">
        <v>330</v>
      </c>
    </row>
    <row r="249" spans="1:18" x14ac:dyDescent="0.35">
      <c r="A249" s="3">
        <v>42217</v>
      </c>
      <c r="B249" s="4">
        <f t="shared" si="6"/>
        <v>8</v>
      </c>
      <c r="C249" s="4">
        <f t="shared" si="7"/>
        <v>2015</v>
      </c>
      <c r="D249">
        <v>2308.9319999999998</v>
      </c>
      <c r="E249">
        <v>10.921200000000001</v>
      </c>
      <c r="F249">
        <v>0</v>
      </c>
      <c r="G249">
        <v>2271.8766000000001</v>
      </c>
      <c r="H249">
        <v>26.1343</v>
      </c>
      <c r="I249">
        <v>7770.2489999999998</v>
      </c>
      <c r="J249">
        <v>19.998000000000001</v>
      </c>
      <c r="K249">
        <v>0</v>
      </c>
      <c r="L249">
        <v>7665.0439999999999</v>
      </c>
      <c r="M249">
        <v>85.206999999999994</v>
      </c>
      <c r="N249">
        <v>297</v>
      </c>
      <c r="O249">
        <v>546</v>
      </c>
      <c r="P249">
        <v>0</v>
      </c>
      <c r="Q249">
        <v>296</v>
      </c>
      <c r="R249">
        <v>307</v>
      </c>
    </row>
    <row r="250" spans="1:18" x14ac:dyDescent="0.35">
      <c r="A250" s="3">
        <v>42248</v>
      </c>
      <c r="B250" s="4">
        <f t="shared" si="6"/>
        <v>9</v>
      </c>
      <c r="C250" s="4">
        <f t="shared" si="7"/>
        <v>2015</v>
      </c>
      <c r="D250">
        <v>2097.7903000000001</v>
      </c>
      <c r="E250">
        <v>10.2164</v>
      </c>
      <c r="F250">
        <v>0</v>
      </c>
      <c r="G250">
        <v>2060.134</v>
      </c>
      <c r="H250">
        <v>27.439900000000002</v>
      </c>
      <c r="I250">
        <v>7312.4930000000004</v>
      </c>
      <c r="J250">
        <v>18.753</v>
      </c>
      <c r="K250">
        <v>0</v>
      </c>
      <c r="L250">
        <v>7205.32</v>
      </c>
      <c r="M250">
        <v>88.42</v>
      </c>
      <c r="N250">
        <v>287</v>
      </c>
      <c r="O250">
        <v>545</v>
      </c>
      <c r="P250">
        <v>0</v>
      </c>
      <c r="Q250">
        <v>286</v>
      </c>
      <c r="R250">
        <v>310</v>
      </c>
    </row>
    <row r="251" spans="1:18" x14ac:dyDescent="0.35">
      <c r="A251" s="3">
        <v>42278</v>
      </c>
      <c r="B251" s="4">
        <f t="shared" si="6"/>
        <v>10</v>
      </c>
      <c r="C251" s="4">
        <f t="shared" si="7"/>
        <v>2015</v>
      </c>
      <c r="D251">
        <v>2131.7302</v>
      </c>
      <c r="E251">
        <v>9.9856999999999996</v>
      </c>
      <c r="F251">
        <v>0</v>
      </c>
      <c r="G251">
        <v>2095.5387999999998</v>
      </c>
      <c r="H251">
        <v>26.2057</v>
      </c>
      <c r="I251">
        <v>7596.9210000000003</v>
      </c>
      <c r="J251">
        <v>18.690000000000001</v>
      </c>
      <c r="K251">
        <v>0</v>
      </c>
      <c r="L251">
        <v>7492.5290000000005</v>
      </c>
      <c r="M251">
        <v>85.701999999999998</v>
      </c>
      <c r="N251">
        <v>281</v>
      </c>
      <c r="O251">
        <v>534</v>
      </c>
      <c r="P251">
        <v>0</v>
      </c>
      <c r="Q251">
        <v>280</v>
      </c>
      <c r="R251">
        <v>306</v>
      </c>
    </row>
    <row r="252" spans="1:18" x14ac:dyDescent="0.35">
      <c r="A252" s="3">
        <v>42309</v>
      </c>
      <c r="B252" s="4">
        <f t="shared" si="6"/>
        <v>11</v>
      </c>
      <c r="C252" s="4">
        <f t="shared" si="7"/>
        <v>2015</v>
      </c>
      <c r="D252">
        <v>1944.0834</v>
      </c>
      <c r="E252">
        <v>11.1448</v>
      </c>
      <c r="F252">
        <v>0</v>
      </c>
      <c r="G252">
        <v>1895.4205999999999</v>
      </c>
      <c r="H252">
        <v>37.517899999999997</v>
      </c>
      <c r="I252">
        <v>6892.7250000000004</v>
      </c>
      <c r="J252">
        <v>20.423999999999999</v>
      </c>
      <c r="K252">
        <v>0</v>
      </c>
      <c r="L252">
        <v>6760.0649999999996</v>
      </c>
      <c r="M252">
        <v>112.236</v>
      </c>
      <c r="N252">
        <v>282</v>
      </c>
      <c r="O252">
        <v>546</v>
      </c>
      <c r="P252">
        <v>0</v>
      </c>
      <c r="Q252">
        <v>280</v>
      </c>
      <c r="R252">
        <v>334</v>
      </c>
    </row>
    <row r="253" spans="1:18" x14ac:dyDescent="0.35">
      <c r="A253" s="3">
        <v>42339</v>
      </c>
      <c r="B253" s="4">
        <f t="shared" si="6"/>
        <v>12</v>
      </c>
      <c r="C253" s="4">
        <f t="shared" si="7"/>
        <v>2015</v>
      </c>
      <c r="D253">
        <v>2241.5383000000002</v>
      </c>
      <c r="E253">
        <v>19.282599999999999</v>
      </c>
      <c r="F253">
        <v>0</v>
      </c>
      <c r="G253">
        <v>2138.3789999999999</v>
      </c>
      <c r="H253">
        <v>83.8767</v>
      </c>
      <c r="I253">
        <v>7785.8630000000003</v>
      </c>
      <c r="J253">
        <v>32.613999999999997</v>
      </c>
      <c r="K253">
        <v>0</v>
      </c>
      <c r="L253">
        <v>7535.3</v>
      </c>
      <c r="M253">
        <v>217.94900000000001</v>
      </c>
      <c r="N253">
        <v>288</v>
      </c>
      <c r="O253">
        <v>591</v>
      </c>
      <c r="P253">
        <v>0</v>
      </c>
      <c r="Q253">
        <v>284</v>
      </c>
      <c r="R253">
        <v>385</v>
      </c>
    </row>
    <row r="254" spans="1:18" x14ac:dyDescent="0.35">
      <c r="A254" s="3">
        <v>42370</v>
      </c>
      <c r="B254" s="4">
        <f t="shared" si="6"/>
        <v>1</v>
      </c>
      <c r="C254" s="4">
        <f t="shared" si="7"/>
        <v>2016</v>
      </c>
      <c r="D254">
        <v>1976.3992000000001</v>
      </c>
      <c r="E254">
        <v>15.7037</v>
      </c>
      <c r="F254">
        <v>0</v>
      </c>
      <c r="G254">
        <v>1920.0938000000001</v>
      </c>
      <c r="H254">
        <v>40.601700000000001</v>
      </c>
      <c r="I254">
        <v>6653.0910000000003</v>
      </c>
      <c r="J254">
        <v>26.603999999999999</v>
      </c>
      <c r="K254">
        <v>0</v>
      </c>
      <c r="L254">
        <v>6544.1450000000004</v>
      </c>
      <c r="M254">
        <v>82.341999999999999</v>
      </c>
      <c r="N254">
        <v>297</v>
      </c>
      <c r="O254">
        <v>590</v>
      </c>
      <c r="P254">
        <v>0</v>
      </c>
      <c r="Q254">
        <v>293</v>
      </c>
      <c r="R254">
        <v>493</v>
      </c>
    </row>
    <row r="255" spans="1:18" x14ac:dyDescent="0.35">
      <c r="A255" s="3">
        <v>42401</v>
      </c>
      <c r="B255" s="4">
        <f t="shared" si="6"/>
        <v>2</v>
      </c>
      <c r="C255" s="4">
        <f t="shared" si="7"/>
        <v>2016</v>
      </c>
      <c r="D255">
        <v>2123.221</v>
      </c>
      <c r="E255">
        <v>13.0655</v>
      </c>
      <c r="F255">
        <v>0</v>
      </c>
      <c r="G255">
        <v>2087.6338000000001</v>
      </c>
      <c r="H255">
        <v>22.521599999999999</v>
      </c>
      <c r="I255">
        <v>7356.1970000000001</v>
      </c>
      <c r="J255">
        <v>23.385999999999999</v>
      </c>
      <c r="K255">
        <v>0</v>
      </c>
      <c r="L255">
        <v>7269.8879999999999</v>
      </c>
      <c r="M255">
        <v>62.923000000000002</v>
      </c>
      <c r="N255">
        <v>289</v>
      </c>
      <c r="O255">
        <v>559</v>
      </c>
      <c r="P255">
        <v>0</v>
      </c>
      <c r="Q255">
        <v>287</v>
      </c>
      <c r="R255">
        <v>358</v>
      </c>
    </row>
    <row r="256" spans="1:18" x14ac:dyDescent="0.35">
      <c r="A256" s="3">
        <v>42430</v>
      </c>
      <c r="B256" s="4">
        <f t="shared" si="6"/>
        <v>3</v>
      </c>
      <c r="C256" s="4">
        <f t="shared" si="7"/>
        <v>2016</v>
      </c>
      <c r="D256">
        <v>2235.7849000000001</v>
      </c>
      <c r="E256">
        <v>14.264099999999999</v>
      </c>
      <c r="F256">
        <v>0</v>
      </c>
      <c r="G256">
        <v>2189.8910000000001</v>
      </c>
      <c r="H256">
        <v>31.629799999999999</v>
      </c>
      <c r="I256">
        <v>7715.1239999999998</v>
      </c>
      <c r="J256">
        <v>25.149000000000001</v>
      </c>
      <c r="K256">
        <v>0</v>
      </c>
      <c r="L256">
        <v>7608.7879999999996</v>
      </c>
      <c r="M256">
        <v>81.186999999999998</v>
      </c>
      <c r="N256">
        <v>290</v>
      </c>
      <c r="O256">
        <v>567</v>
      </c>
      <c r="P256">
        <v>0</v>
      </c>
      <c r="Q256">
        <v>288</v>
      </c>
      <c r="R256">
        <v>390</v>
      </c>
    </row>
    <row r="257" spans="1:18" x14ac:dyDescent="0.35">
      <c r="A257" s="3">
        <v>42461</v>
      </c>
      <c r="B257" s="4">
        <f t="shared" si="6"/>
        <v>4</v>
      </c>
      <c r="C257" s="4">
        <f t="shared" si="7"/>
        <v>2016</v>
      </c>
      <c r="D257">
        <v>2213.3933999999999</v>
      </c>
      <c r="E257">
        <v>12.9505</v>
      </c>
      <c r="F257">
        <v>0</v>
      </c>
      <c r="G257">
        <v>2169.5743000000002</v>
      </c>
      <c r="H257">
        <v>30.868600000000001</v>
      </c>
      <c r="I257">
        <v>7581.08</v>
      </c>
      <c r="J257">
        <v>22.356999999999999</v>
      </c>
      <c r="K257">
        <v>0</v>
      </c>
      <c r="L257">
        <v>7482.0320000000002</v>
      </c>
      <c r="M257">
        <v>76.691000000000003</v>
      </c>
      <c r="N257">
        <v>292</v>
      </c>
      <c r="O257">
        <v>579</v>
      </c>
      <c r="P257">
        <v>0</v>
      </c>
      <c r="Q257">
        <v>290</v>
      </c>
      <c r="R257">
        <v>403</v>
      </c>
    </row>
    <row r="258" spans="1:18" x14ac:dyDescent="0.35">
      <c r="A258" s="3">
        <v>42491</v>
      </c>
      <c r="B258" s="4">
        <f t="shared" si="6"/>
        <v>5</v>
      </c>
      <c r="C258" s="4">
        <f t="shared" si="7"/>
        <v>2016</v>
      </c>
      <c r="D258">
        <v>2532.8537999999999</v>
      </c>
      <c r="E258">
        <v>14.953799999999999</v>
      </c>
      <c r="F258">
        <v>0</v>
      </c>
      <c r="G258">
        <v>2482.6803</v>
      </c>
      <c r="H258">
        <v>35.219700000000003</v>
      </c>
      <c r="I258">
        <v>8879.6820000000007</v>
      </c>
      <c r="J258">
        <v>25.843</v>
      </c>
      <c r="K258">
        <v>0</v>
      </c>
      <c r="L258">
        <v>8761.9660000000003</v>
      </c>
      <c r="M258">
        <v>91.873000000000005</v>
      </c>
      <c r="N258">
        <v>285</v>
      </c>
      <c r="O258">
        <v>579</v>
      </c>
      <c r="P258">
        <v>0</v>
      </c>
      <c r="Q258">
        <v>283</v>
      </c>
      <c r="R258">
        <v>383</v>
      </c>
    </row>
    <row r="259" spans="1:18" x14ac:dyDescent="0.35">
      <c r="A259" s="3">
        <v>42522</v>
      </c>
      <c r="B259" s="4">
        <f t="shared" ref="B259:B322" si="8">MONTH(A259)</f>
        <v>6</v>
      </c>
      <c r="C259" s="4">
        <f t="shared" ref="C259:C322" si="9">YEAR(A259)</f>
        <v>2016</v>
      </c>
      <c r="D259">
        <v>2366.6498000000001</v>
      </c>
      <c r="E259">
        <v>13.1145</v>
      </c>
      <c r="F259">
        <v>0</v>
      </c>
      <c r="G259">
        <v>2311.92</v>
      </c>
      <c r="H259">
        <v>41.615299999999998</v>
      </c>
      <c r="I259">
        <v>7900.9719999999998</v>
      </c>
      <c r="J259">
        <v>22.408000000000001</v>
      </c>
      <c r="K259">
        <v>0</v>
      </c>
      <c r="L259">
        <v>7766.8729999999996</v>
      </c>
      <c r="M259">
        <v>111.691</v>
      </c>
      <c r="N259">
        <v>300</v>
      </c>
      <c r="O259">
        <v>585</v>
      </c>
      <c r="P259">
        <v>0</v>
      </c>
      <c r="Q259">
        <v>298</v>
      </c>
      <c r="R259">
        <v>373</v>
      </c>
    </row>
    <row r="260" spans="1:18" x14ac:dyDescent="0.35">
      <c r="A260" s="3">
        <v>42552</v>
      </c>
      <c r="B260" s="4">
        <f t="shared" si="8"/>
        <v>7</v>
      </c>
      <c r="C260" s="4">
        <f t="shared" si="9"/>
        <v>2016</v>
      </c>
      <c r="D260">
        <v>2306.0699</v>
      </c>
      <c r="E260">
        <v>13.2187</v>
      </c>
      <c r="F260">
        <v>0</v>
      </c>
      <c r="G260">
        <v>2239.3384999999998</v>
      </c>
      <c r="H260">
        <v>53.512700000000002</v>
      </c>
      <c r="I260">
        <v>7877.98</v>
      </c>
      <c r="J260">
        <v>22.763000000000002</v>
      </c>
      <c r="K260">
        <v>0</v>
      </c>
      <c r="L260">
        <v>7713.3339999999998</v>
      </c>
      <c r="M260">
        <v>141.88300000000001</v>
      </c>
      <c r="N260">
        <v>293</v>
      </c>
      <c r="O260">
        <v>581</v>
      </c>
      <c r="P260">
        <v>0</v>
      </c>
      <c r="Q260">
        <v>290</v>
      </c>
      <c r="R260">
        <v>377</v>
      </c>
    </row>
    <row r="261" spans="1:18" x14ac:dyDescent="0.35">
      <c r="A261" s="3">
        <v>42583</v>
      </c>
      <c r="B261" s="4">
        <f t="shared" si="8"/>
        <v>8</v>
      </c>
      <c r="C261" s="4">
        <f t="shared" si="9"/>
        <v>2016</v>
      </c>
      <c r="D261">
        <v>2318.9360999999999</v>
      </c>
      <c r="E261">
        <v>12.6945</v>
      </c>
      <c r="F261">
        <v>0</v>
      </c>
      <c r="G261">
        <v>2280.7822999999999</v>
      </c>
      <c r="H261">
        <v>25.459299999999999</v>
      </c>
      <c r="I261">
        <v>7995.9279999999999</v>
      </c>
      <c r="J261">
        <v>22.998999999999999</v>
      </c>
      <c r="K261">
        <v>0</v>
      </c>
      <c r="L261">
        <v>7899.3329999999996</v>
      </c>
      <c r="M261">
        <v>73.596000000000004</v>
      </c>
      <c r="N261">
        <v>290</v>
      </c>
      <c r="O261">
        <v>552</v>
      </c>
      <c r="P261">
        <v>0</v>
      </c>
      <c r="Q261">
        <v>289</v>
      </c>
      <c r="R261">
        <v>346</v>
      </c>
    </row>
    <row r="262" spans="1:18" x14ac:dyDescent="0.35">
      <c r="A262" s="3">
        <v>42614</v>
      </c>
      <c r="B262" s="4">
        <f t="shared" si="8"/>
        <v>9</v>
      </c>
      <c r="C262" s="4">
        <f t="shared" si="9"/>
        <v>2016</v>
      </c>
      <c r="D262">
        <v>2441.4270000000001</v>
      </c>
      <c r="E262">
        <v>11.8977</v>
      </c>
      <c r="F262">
        <v>0</v>
      </c>
      <c r="G262">
        <v>2406.8054999999999</v>
      </c>
      <c r="H262">
        <v>22.7239</v>
      </c>
      <c r="I262">
        <v>8037.1549999999997</v>
      </c>
      <c r="J262">
        <v>20.870999999999999</v>
      </c>
      <c r="K262">
        <v>0</v>
      </c>
      <c r="L262">
        <v>7945.0640000000003</v>
      </c>
      <c r="M262">
        <v>71.22</v>
      </c>
      <c r="N262">
        <v>304</v>
      </c>
      <c r="O262">
        <v>570</v>
      </c>
      <c r="P262">
        <v>0</v>
      </c>
      <c r="Q262">
        <v>303</v>
      </c>
      <c r="R262">
        <v>319</v>
      </c>
    </row>
    <row r="263" spans="1:18" x14ac:dyDescent="0.35">
      <c r="A263" s="3">
        <v>42644</v>
      </c>
      <c r="B263" s="4">
        <f t="shared" si="8"/>
        <v>10</v>
      </c>
      <c r="C263" s="4">
        <f t="shared" si="9"/>
        <v>2016</v>
      </c>
      <c r="D263">
        <v>2273.9135999999999</v>
      </c>
      <c r="E263">
        <v>10.324400000000001</v>
      </c>
      <c r="F263">
        <v>0</v>
      </c>
      <c r="G263">
        <v>2233.549</v>
      </c>
      <c r="H263">
        <v>30.040199999999999</v>
      </c>
      <c r="I263">
        <v>8171.3270000000002</v>
      </c>
      <c r="J263">
        <v>20.332999999999998</v>
      </c>
      <c r="K263">
        <v>0</v>
      </c>
      <c r="L263">
        <v>8060.0410000000002</v>
      </c>
      <c r="M263">
        <v>90.953000000000003</v>
      </c>
      <c r="N263">
        <v>278</v>
      </c>
      <c r="O263">
        <v>508</v>
      </c>
      <c r="P263">
        <v>0</v>
      </c>
      <c r="Q263">
        <v>277</v>
      </c>
      <c r="R263">
        <v>330</v>
      </c>
    </row>
    <row r="264" spans="1:18" x14ac:dyDescent="0.35">
      <c r="A264" s="3">
        <v>42675</v>
      </c>
      <c r="B264" s="4">
        <f t="shared" si="8"/>
        <v>11</v>
      </c>
      <c r="C264" s="4">
        <f t="shared" si="9"/>
        <v>2016</v>
      </c>
      <c r="D264">
        <v>2444.7874000000002</v>
      </c>
      <c r="E264">
        <v>12.1515</v>
      </c>
      <c r="F264">
        <v>0</v>
      </c>
      <c r="G264">
        <v>2392.3429000000001</v>
      </c>
      <c r="H264">
        <v>40.292999999999999</v>
      </c>
      <c r="I264">
        <v>7687.6769999999997</v>
      </c>
      <c r="J264">
        <v>20.864000000000001</v>
      </c>
      <c r="K264">
        <v>0</v>
      </c>
      <c r="L264">
        <v>7548.9229999999998</v>
      </c>
      <c r="M264">
        <v>117.89</v>
      </c>
      <c r="N264">
        <v>318</v>
      </c>
      <c r="O264">
        <v>582</v>
      </c>
      <c r="P264">
        <v>0</v>
      </c>
      <c r="Q264">
        <v>317</v>
      </c>
      <c r="R264">
        <v>342</v>
      </c>
    </row>
    <row r="265" spans="1:18" x14ac:dyDescent="0.35">
      <c r="A265" s="3">
        <v>42705</v>
      </c>
      <c r="B265" s="4">
        <f t="shared" si="8"/>
        <v>12</v>
      </c>
      <c r="C265" s="4">
        <f t="shared" si="9"/>
        <v>2016</v>
      </c>
      <c r="D265">
        <v>2397.7076999999999</v>
      </c>
      <c r="E265">
        <v>14.8957</v>
      </c>
      <c r="F265">
        <v>0</v>
      </c>
      <c r="G265">
        <v>2301.6383000000001</v>
      </c>
      <c r="H265">
        <v>81.173599999999993</v>
      </c>
      <c r="I265">
        <v>8319.902</v>
      </c>
      <c r="J265">
        <v>25.341999999999999</v>
      </c>
      <c r="K265">
        <v>0</v>
      </c>
      <c r="L265">
        <v>8079.68</v>
      </c>
      <c r="M265">
        <v>214.88</v>
      </c>
      <c r="N265">
        <v>288</v>
      </c>
      <c r="O265">
        <v>588</v>
      </c>
      <c r="P265">
        <v>0</v>
      </c>
      <c r="Q265">
        <v>285</v>
      </c>
      <c r="R265">
        <v>378</v>
      </c>
    </row>
    <row r="266" spans="1:18" x14ac:dyDescent="0.35">
      <c r="A266" s="3">
        <v>42736</v>
      </c>
      <c r="B266" s="4">
        <f t="shared" si="8"/>
        <v>1</v>
      </c>
      <c r="C266" s="4">
        <f t="shared" si="9"/>
        <v>2017</v>
      </c>
      <c r="D266">
        <v>2196.0864999999999</v>
      </c>
      <c r="E266">
        <v>15.598000000000001</v>
      </c>
      <c r="F266">
        <v>0</v>
      </c>
      <c r="G266">
        <v>2133.1559000000002</v>
      </c>
      <c r="H266">
        <v>47.332700000000003</v>
      </c>
      <c r="I266">
        <v>7451.39</v>
      </c>
      <c r="J266">
        <v>26.702999999999999</v>
      </c>
      <c r="K266">
        <v>0</v>
      </c>
      <c r="L266">
        <v>7318.0749999999998</v>
      </c>
      <c r="M266">
        <v>106.61199999999999</v>
      </c>
      <c r="N266">
        <v>295</v>
      </c>
      <c r="O266">
        <v>584</v>
      </c>
      <c r="P266">
        <v>0</v>
      </c>
      <c r="Q266">
        <v>291</v>
      </c>
      <c r="R266">
        <v>444</v>
      </c>
    </row>
    <row r="267" spans="1:18" x14ac:dyDescent="0.35">
      <c r="A267" s="3">
        <v>42767</v>
      </c>
      <c r="B267" s="4">
        <f t="shared" si="8"/>
        <v>2</v>
      </c>
      <c r="C267" s="4">
        <f t="shared" si="9"/>
        <v>2017</v>
      </c>
      <c r="D267">
        <v>2191.0385999999999</v>
      </c>
      <c r="E267">
        <v>11.636200000000001</v>
      </c>
      <c r="F267">
        <v>0</v>
      </c>
      <c r="G267">
        <v>2148.2620000000002</v>
      </c>
      <c r="H267">
        <v>31.1403</v>
      </c>
      <c r="I267">
        <v>7265.9179999999997</v>
      </c>
      <c r="J267">
        <v>20.533000000000001</v>
      </c>
      <c r="K267">
        <v>0</v>
      </c>
      <c r="L267">
        <v>7159.4660000000003</v>
      </c>
      <c r="M267">
        <v>85.918999999999997</v>
      </c>
      <c r="N267">
        <v>302</v>
      </c>
      <c r="O267">
        <v>567</v>
      </c>
      <c r="P267">
        <v>0</v>
      </c>
      <c r="Q267">
        <v>300</v>
      </c>
      <c r="R267">
        <v>362</v>
      </c>
    </row>
    <row r="268" spans="1:18" x14ac:dyDescent="0.35">
      <c r="A268" s="3">
        <v>42795</v>
      </c>
      <c r="B268" s="4">
        <f t="shared" si="8"/>
        <v>3</v>
      </c>
      <c r="C268" s="4">
        <f t="shared" si="9"/>
        <v>2017</v>
      </c>
      <c r="D268">
        <v>2678.2118</v>
      </c>
      <c r="E268">
        <v>10.706</v>
      </c>
      <c r="F268">
        <v>0</v>
      </c>
      <c r="G268">
        <v>2629.5043000000001</v>
      </c>
      <c r="H268">
        <v>38.0015</v>
      </c>
      <c r="I268">
        <v>8517.6479999999992</v>
      </c>
      <c r="J268">
        <v>18.887</v>
      </c>
      <c r="K268">
        <v>0</v>
      </c>
      <c r="L268">
        <v>8400.6550000000007</v>
      </c>
      <c r="M268">
        <v>98.105999999999995</v>
      </c>
      <c r="N268">
        <v>314</v>
      </c>
      <c r="O268">
        <v>567</v>
      </c>
      <c r="P268">
        <v>0</v>
      </c>
      <c r="Q268">
        <v>313</v>
      </c>
      <c r="R268">
        <v>387</v>
      </c>
    </row>
    <row r="269" spans="1:18" x14ac:dyDescent="0.35">
      <c r="A269" s="3">
        <v>42826</v>
      </c>
      <c r="B269" s="4">
        <f t="shared" si="8"/>
        <v>4</v>
      </c>
      <c r="C269" s="4">
        <f t="shared" si="9"/>
        <v>2017</v>
      </c>
      <c r="D269">
        <v>2449.3006</v>
      </c>
      <c r="E269">
        <v>9.7731999999999992</v>
      </c>
      <c r="F269">
        <v>0</v>
      </c>
      <c r="G269">
        <v>2399.7676000000001</v>
      </c>
      <c r="H269">
        <v>39.759900000000002</v>
      </c>
      <c r="I269">
        <v>8058.3119999999999</v>
      </c>
      <c r="J269">
        <v>17.608000000000001</v>
      </c>
      <c r="K269">
        <v>0</v>
      </c>
      <c r="L269">
        <v>7947.5569999999998</v>
      </c>
      <c r="M269">
        <v>93.147000000000006</v>
      </c>
      <c r="N269">
        <v>304</v>
      </c>
      <c r="O269">
        <v>555</v>
      </c>
      <c r="P269">
        <v>0</v>
      </c>
      <c r="Q269">
        <v>302</v>
      </c>
      <c r="R269">
        <v>427</v>
      </c>
    </row>
    <row r="270" spans="1:18" x14ac:dyDescent="0.35">
      <c r="A270" s="3">
        <v>42856</v>
      </c>
      <c r="B270" s="4">
        <f t="shared" si="8"/>
        <v>5</v>
      </c>
      <c r="C270" s="4">
        <f t="shared" si="9"/>
        <v>2017</v>
      </c>
      <c r="D270">
        <v>2754.1658000000002</v>
      </c>
      <c r="E270">
        <v>14.6914</v>
      </c>
      <c r="F270">
        <v>0</v>
      </c>
      <c r="G270">
        <v>2701.1500999999998</v>
      </c>
      <c r="H270">
        <v>38.324300000000001</v>
      </c>
      <c r="I270">
        <v>9260.125</v>
      </c>
      <c r="J270">
        <v>19.704999999999998</v>
      </c>
      <c r="K270">
        <v>0</v>
      </c>
      <c r="L270">
        <v>9137.6080000000002</v>
      </c>
      <c r="M270">
        <v>102.812</v>
      </c>
      <c r="N270">
        <v>297</v>
      </c>
      <c r="O270">
        <v>746</v>
      </c>
      <c r="P270">
        <v>0</v>
      </c>
      <c r="Q270">
        <v>296</v>
      </c>
      <c r="R270">
        <v>373</v>
      </c>
    </row>
    <row r="271" spans="1:18" x14ac:dyDescent="0.35">
      <c r="A271" s="3">
        <v>42887</v>
      </c>
      <c r="B271" s="4">
        <f t="shared" si="8"/>
        <v>6</v>
      </c>
      <c r="C271" s="4">
        <f t="shared" si="9"/>
        <v>2017</v>
      </c>
      <c r="D271">
        <v>2609.6109999999999</v>
      </c>
      <c r="E271">
        <v>15.892899999999999</v>
      </c>
      <c r="F271">
        <v>0</v>
      </c>
      <c r="G271">
        <v>2544.7950000000001</v>
      </c>
      <c r="H271">
        <v>48.923099999999998</v>
      </c>
      <c r="I271">
        <v>8417.5280000000002</v>
      </c>
      <c r="J271">
        <v>27.244</v>
      </c>
      <c r="K271">
        <v>0</v>
      </c>
      <c r="L271">
        <v>8255.6470000000008</v>
      </c>
      <c r="M271">
        <v>134.637</v>
      </c>
      <c r="N271">
        <v>310</v>
      </c>
      <c r="O271">
        <v>583</v>
      </c>
      <c r="P271">
        <v>0</v>
      </c>
      <c r="Q271">
        <v>308</v>
      </c>
      <c r="R271">
        <v>363</v>
      </c>
    </row>
    <row r="272" spans="1:18" x14ac:dyDescent="0.35">
      <c r="A272" s="3">
        <v>42917</v>
      </c>
      <c r="B272" s="4">
        <f t="shared" si="8"/>
        <v>7</v>
      </c>
      <c r="C272" s="4">
        <f t="shared" si="9"/>
        <v>2017</v>
      </c>
      <c r="D272">
        <v>2663.0470999999998</v>
      </c>
      <c r="E272">
        <v>16.448699999999999</v>
      </c>
      <c r="F272">
        <v>0</v>
      </c>
      <c r="G272">
        <v>2588.0576000000001</v>
      </c>
      <c r="H272">
        <v>58.540700000000001</v>
      </c>
      <c r="I272">
        <v>8609.1830000000009</v>
      </c>
      <c r="J272">
        <v>27.648</v>
      </c>
      <c r="K272">
        <v>0</v>
      </c>
      <c r="L272">
        <v>8449.2129999999997</v>
      </c>
      <c r="M272">
        <v>132.322</v>
      </c>
      <c r="N272">
        <v>309</v>
      </c>
      <c r="O272">
        <v>595</v>
      </c>
      <c r="P272">
        <v>0</v>
      </c>
      <c r="Q272">
        <v>306</v>
      </c>
      <c r="R272">
        <v>442</v>
      </c>
    </row>
    <row r="273" spans="1:18" x14ac:dyDescent="0.35">
      <c r="A273" s="3">
        <v>42948</v>
      </c>
      <c r="B273" s="4">
        <f t="shared" si="8"/>
        <v>8</v>
      </c>
      <c r="C273" s="4">
        <f t="shared" si="9"/>
        <v>2017</v>
      </c>
      <c r="D273">
        <v>2678.7156</v>
      </c>
      <c r="E273">
        <v>15.5815</v>
      </c>
      <c r="F273">
        <v>0</v>
      </c>
      <c r="G273">
        <v>2622.2224000000001</v>
      </c>
      <c r="H273">
        <v>40.911700000000003</v>
      </c>
      <c r="I273">
        <v>8643.902</v>
      </c>
      <c r="J273">
        <v>25.751999999999999</v>
      </c>
      <c r="K273">
        <v>0</v>
      </c>
      <c r="L273">
        <v>8519.5120000000006</v>
      </c>
      <c r="M273">
        <v>98.638000000000005</v>
      </c>
      <c r="N273">
        <v>310</v>
      </c>
      <c r="O273">
        <v>605</v>
      </c>
      <c r="P273">
        <v>0</v>
      </c>
      <c r="Q273">
        <v>308</v>
      </c>
      <c r="R273">
        <v>415</v>
      </c>
    </row>
    <row r="274" spans="1:18" x14ac:dyDescent="0.35">
      <c r="A274" s="3">
        <v>42979</v>
      </c>
      <c r="B274" s="4">
        <f t="shared" si="8"/>
        <v>9</v>
      </c>
      <c r="C274" s="4">
        <f t="shared" si="9"/>
        <v>2017</v>
      </c>
      <c r="D274">
        <v>2550.7464</v>
      </c>
      <c r="E274">
        <v>12.126899999999999</v>
      </c>
      <c r="F274">
        <v>0</v>
      </c>
      <c r="G274">
        <v>2506.1208999999999</v>
      </c>
      <c r="H274">
        <v>32.498600000000003</v>
      </c>
      <c r="I274">
        <v>8417.8469999999998</v>
      </c>
      <c r="J274">
        <v>20.405999999999999</v>
      </c>
      <c r="K274">
        <v>0</v>
      </c>
      <c r="L274">
        <v>8315.9189999999999</v>
      </c>
      <c r="M274">
        <v>81.522000000000006</v>
      </c>
      <c r="N274">
        <v>303</v>
      </c>
      <c r="O274">
        <v>594</v>
      </c>
      <c r="P274">
        <v>0</v>
      </c>
      <c r="Q274">
        <v>301</v>
      </c>
      <c r="R274">
        <v>399</v>
      </c>
    </row>
    <row r="275" spans="1:18" x14ac:dyDescent="0.35">
      <c r="A275" s="3">
        <v>43009</v>
      </c>
      <c r="B275" s="4">
        <f t="shared" si="8"/>
        <v>10</v>
      </c>
      <c r="C275" s="4">
        <f t="shared" si="9"/>
        <v>2017</v>
      </c>
      <c r="D275">
        <v>2873.1653999999999</v>
      </c>
      <c r="E275">
        <v>13.020200000000001</v>
      </c>
      <c r="F275">
        <v>0</v>
      </c>
      <c r="G275">
        <v>2822.4114</v>
      </c>
      <c r="H275">
        <v>37.733800000000002</v>
      </c>
      <c r="I275">
        <v>9257.9750000000004</v>
      </c>
      <c r="J275">
        <v>22.353000000000002</v>
      </c>
      <c r="K275">
        <v>0</v>
      </c>
      <c r="L275">
        <v>9137.8160000000007</v>
      </c>
      <c r="M275">
        <v>97.805999999999997</v>
      </c>
      <c r="N275">
        <v>310</v>
      </c>
      <c r="O275">
        <v>582</v>
      </c>
      <c r="P275">
        <v>0</v>
      </c>
      <c r="Q275">
        <v>309</v>
      </c>
      <c r="R275">
        <v>386</v>
      </c>
    </row>
    <row r="276" spans="1:18" x14ac:dyDescent="0.35">
      <c r="A276" s="3">
        <v>43040</v>
      </c>
      <c r="B276" s="4">
        <f t="shared" si="8"/>
        <v>11</v>
      </c>
      <c r="C276" s="4">
        <f t="shared" si="9"/>
        <v>2017</v>
      </c>
      <c r="D276">
        <v>2473.8380999999999</v>
      </c>
      <c r="E276">
        <v>11.255599999999999</v>
      </c>
      <c r="F276">
        <v>0</v>
      </c>
      <c r="G276">
        <v>2414.9146000000001</v>
      </c>
      <c r="H276">
        <v>47.6678</v>
      </c>
      <c r="I276">
        <v>8029.8609999999999</v>
      </c>
      <c r="J276">
        <v>19.611000000000001</v>
      </c>
      <c r="K276">
        <v>0</v>
      </c>
      <c r="L276">
        <v>7879.991</v>
      </c>
      <c r="M276">
        <v>130.25899999999999</v>
      </c>
      <c r="N276">
        <v>308</v>
      </c>
      <c r="O276">
        <v>574</v>
      </c>
      <c r="P276">
        <v>0</v>
      </c>
      <c r="Q276">
        <v>306</v>
      </c>
      <c r="R276">
        <v>366</v>
      </c>
    </row>
    <row r="277" spans="1:18" x14ac:dyDescent="0.35">
      <c r="A277" s="3">
        <v>43070</v>
      </c>
      <c r="B277" s="4">
        <f t="shared" si="8"/>
        <v>12</v>
      </c>
      <c r="C277" s="4">
        <f t="shared" si="9"/>
        <v>2017</v>
      </c>
      <c r="D277">
        <v>2824.9872999999998</v>
      </c>
      <c r="E277">
        <v>15.3512</v>
      </c>
      <c r="F277">
        <v>0</v>
      </c>
      <c r="G277">
        <v>2723.7239</v>
      </c>
      <c r="H277">
        <v>85.912199999999999</v>
      </c>
      <c r="I277">
        <v>9104.8109999999997</v>
      </c>
      <c r="J277">
        <v>24.303999999999998</v>
      </c>
      <c r="K277">
        <v>0</v>
      </c>
      <c r="L277">
        <v>8862.5280000000002</v>
      </c>
      <c r="M277">
        <v>217.97900000000001</v>
      </c>
      <c r="N277">
        <v>310</v>
      </c>
      <c r="O277">
        <v>632</v>
      </c>
      <c r="P277">
        <v>0</v>
      </c>
      <c r="Q277">
        <v>307</v>
      </c>
      <c r="R277">
        <v>394</v>
      </c>
    </row>
    <row r="278" spans="1:18" x14ac:dyDescent="0.35">
      <c r="A278" s="3">
        <v>43101</v>
      </c>
      <c r="B278" s="4">
        <f t="shared" si="8"/>
        <v>1</v>
      </c>
      <c r="C278" s="4">
        <f t="shared" si="9"/>
        <v>2018</v>
      </c>
      <c r="D278">
        <v>2308.8292000000001</v>
      </c>
      <c r="E278">
        <v>17.804099999999998</v>
      </c>
      <c r="F278">
        <v>0</v>
      </c>
      <c r="G278">
        <v>2228.1</v>
      </c>
      <c r="H278">
        <v>62.9251</v>
      </c>
      <c r="I278">
        <v>7590.0559999999996</v>
      </c>
      <c r="J278">
        <v>29.248000000000001</v>
      </c>
      <c r="K278">
        <v>0</v>
      </c>
      <c r="L278">
        <v>7428.2659999999996</v>
      </c>
      <c r="M278">
        <v>132.542</v>
      </c>
      <c r="N278">
        <v>304</v>
      </c>
      <c r="O278">
        <v>609</v>
      </c>
      <c r="P278">
        <v>0</v>
      </c>
      <c r="Q278">
        <v>300</v>
      </c>
      <c r="R278">
        <v>475</v>
      </c>
    </row>
    <row r="279" spans="1:18" x14ac:dyDescent="0.35">
      <c r="A279" s="3">
        <v>43132</v>
      </c>
      <c r="B279" s="4">
        <f t="shared" si="8"/>
        <v>2</v>
      </c>
      <c r="C279" s="4">
        <f t="shared" si="9"/>
        <v>2018</v>
      </c>
      <c r="D279">
        <v>2292.3587000000002</v>
      </c>
      <c r="E279">
        <v>11.857200000000001</v>
      </c>
      <c r="F279">
        <v>0</v>
      </c>
      <c r="G279">
        <v>2240.3982999999998</v>
      </c>
      <c r="H279">
        <v>40.103200000000001</v>
      </c>
      <c r="I279">
        <v>7628.06</v>
      </c>
      <c r="J279">
        <v>19.599</v>
      </c>
      <c r="K279">
        <v>0</v>
      </c>
      <c r="L279">
        <v>7514.4049999999997</v>
      </c>
      <c r="M279">
        <v>94.055999999999997</v>
      </c>
      <c r="N279">
        <v>301</v>
      </c>
      <c r="O279">
        <v>605</v>
      </c>
      <c r="P279">
        <v>0</v>
      </c>
      <c r="Q279">
        <v>298</v>
      </c>
      <c r="R279">
        <v>426</v>
      </c>
    </row>
    <row r="280" spans="1:18" x14ac:dyDescent="0.35">
      <c r="A280" s="3">
        <v>43160</v>
      </c>
      <c r="B280" s="4">
        <f t="shared" si="8"/>
        <v>3</v>
      </c>
      <c r="C280" s="4">
        <f t="shared" si="9"/>
        <v>2018</v>
      </c>
      <c r="D280">
        <v>2730.9501</v>
      </c>
      <c r="E280">
        <v>10.0238</v>
      </c>
      <c r="F280">
        <v>0</v>
      </c>
      <c r="G280">
        <v>2676.9479999999999</v>
      </c>
      <c r="H280">
        <v>43.978299999999997</v>
      </c>
      <c r="I280">
        <v>8823.65</v>
      </c>
      <c r="J280">
        <v>16.728000000000002</v>
      </c>
      <c r="K280">
        <v>0</v>
      </c>
      <c r="L280">
        <v>8702.6450000000004</v>
      </c>
      <c r="M280">
        <v>104.277</v>
      </c>
      <c r="N280">
        <v>310</v>
      </c>
      <c r="O280">
        <v>599</v>
      </c>
      <c r="P280">
        <v>0</v>
      </c>
      <c r="Q280">
        <v>308</v>
      </c>
      <c r="R280">
        <v>422</v>
      </c>
    </row>
    <row r="281" spans="1:18" x14ac:dyDescent="0.35">
      <c r="A281" s="3">
        <v>43191</v>
      </c>
      <c r="B281" s="4">
        <f t="shared" si="8"/>
        <v>4</v>
      </c>
      <c r="C281" s="4">
        <f t="shared" si="9"/>
        <v>2018</v>
      </c>
      <c r="D281">
        <v>2816.4144999999999</v>
      </c>
      <c r="E281">
        <v>10.577</v>
      </c>
      <c r="F281">
        <v>0</v>
      </c>
      <c r="G281">
        <v>2771.5302000000001</v>
      </c>
      <c r="H281">
        <v>34.307299999999998</v>
      </c>
      <c r="I281">
        <v>8899.4349999999995</v>
      </c>
      <c r="J281">
        <v>17.823</v>
      </c>
      <c r="K281">
        <v>0</v>
      </c>
      <c r="L281">
        <v>8794.5689999999995</v>
      </c>
      <c r="M281">
        <v>87.043000000000006</v>
      </c>
      <c r="N281">
        <v>316</v>
      </c>
      <c r="O281">
        <v>593</v>
      </c>
      <c r="P281">
        <v>0</v>
      </c>
      <c r="Q281">
        <v>315</v>
      </c>
      <c r="R281">
        <v>394</v>
      </c>
    </row>
    <row r="282" spans="1:18" x14ac:dyDescent="0.35">
      <c r="A282" s="3">
        <v>43221</v>
      </c>
      <c r="B282" s="4">
        <f t="shared" si="8"/>
        <v>5</v>
      </c>
      <c r="C282" s="4">
        <f t="shared" si="9"/>
        <v>2018</v>
      </c>
      <c r="D282">
        <v>3232.3766000000001</v>
      </c>
      <c r="E282">
        <v>11.5601</v>
      </c>
      <c r="F282">
        <v>0</v>
      </c>
      <c r="G282">
        <v>3182.1404000000002</v>
      </c>
      <c r="H282">
        <v>38.676099999999998</v>
      </c>
      <c r="I282">
        <v>10077.445</v>
      </c>
      <c r="J282">
        <v>18.940000000000001</v>
      </c>
      <c r="K282">
        <v>0</v>
      </c>
      <c r="L282">
        <v>9952.1219999999994</v>
      </c>
      <c r="M282">
        <v>106.383</v>
      </c>
      <c r="N282">
        <v>321</v>
      </c>
      <c r="O282">
        <v>610</v>
      </c>
      <c r="P282">
        <v>0</v>
      </c>
      <c r="Q282">
        <v>320</v>
      </c>
      <c r="R282">
        <v>364</v>
      </c>
    </row>
    <row r="283" spans="1:18" x14ac:dyDescent="0.35">
      <c r="A283" s="3">
        <v>43252</v>
      </c>
      <c r="B283" s="4">
        <f t="shared" si="8"/>
        <v>6</v>
      </c>
      <c r="C283" s="4">
        <f t="shared" si="9"/>
        <v>2018</v>
      </c>
      <c r="D283">
        <v>3224.4911000000002</v>
      </c>
      <c r="E283">
        <v>10.276</v>
      </c>
      <c r="F283">
        <v>0</v>
      </c>
      <c r="G283">
        <v>3161.8231000000001</v>
      </c>
      <c r="H283">
        <v>52.392000000000003</v>
      </c>
      <c r="I283">
        <v>9468.2309999999998</v>
      </c>
      <c r="J283">
        <v>16.216999999999999</v>
      </c>
      <c r="K283">
        <v>0</v>
      </c>
      <c r="L283">
        <v>9324.4979999999996</v>
      </c>
      <c r="M283">
        <v>127.51600000000001</v>
      </c>
      <c r="N283">
        <v>341</v>
      </c>
      <c r="O283">
        <v>634</v>
      </c>
      <c r="P283">
        <v>0</v>
      </c>
      <c r="Q283">
        <v>339</v>
      </c>
      <c r="R283">
        <v>411</v>
      </c>
    </row>
    <row r="284" spans="1:18" x14ac:dyDescent="0.35">
      <c r="A284" s="3">
        <v>43282</v>
      </c>
      <c r="B284" s="4">
        <f t="shared" si="8"/>
        <v>7</v>
      </c>
      <c r="C284" s="4">
        <f t="shared" si="9"/>
        <v>2018</v>
      </c>
      <c r="D284">
        <v>2930.1358</v>
      </c>
      <c r="E284">
        <v>10.980600000000001</v>
      </c>
      <c r="F284">
        <v>0</v>
      </c>
      <c r="G284">
        <v>2868.2148000000002</v>
      </c>
      <c r="H284">
        <v>50.940399999999997</v>
      </c>
      <c r="I284">
        <v>9108.1980000000003</v>
      </c>
      <c r="J284">
        <v>18.093</v>
      </c>
      <c r="K284">
        <v>0</v>
      </c>
      <c r="L284">
        <v>8963.5329999999994</v>
      </c>
      <c r="M284">
        <v>126.572</v>
      </c>
      <c r="N284">
        <v>322</v>
      </c>
      <c r="O284">
        <v>607</v>
      </c>
      <c r="P284">
        <v>0</v>
      </c>
      <c r="Q284">
        <v>320</v>
      </c>
      <c r="R284">
        <v>402</v>
      </c>
    </row>
    <row r="285" spans="1:18" x14ac:dyDescent="0.35">
      <c r="A285" s="3">
        <v>43313</v>
      </c>
      <c r="B285" s="4">
        <f t="shared" si="8"/>
        <v>8</v>
      </c>
      <c r="C285" s="4">
        <f t="shared" si="9"/>
        <v>2018</v>
      </c>
      <c r="D285">
        <v>2961.1493999999998</v>
      </c>
      <c r="E285">
        <v>10.689</v>
      </c>
      <c r="F285">
        <v>0</v>
      </c>
      <c r="G285">
        <v>2885.4760999999999</v>
      </c>
      <c r="H285">
        <v>64.984300000000005</v>
      </c>
      <c r="I285">
        <v>9183.4639999999999</v>
      </c>
      <c r="J285">
        <v>17.773</v>
      </c>
      <c r="K285">
        <v>0</v>
      </c>
      <c r="L285">
        <v>9006.5820000000003</v>
      </c>
      <c r="M285">
        <v>159.10900000000001</v>
      </c>
      <c r="N285">
        <v>322</v>
      </c>
      <c r="O285">
        <v>601</v>
      </c>
      <c r="P285">
        <v>0</v>
      </c>
      <c r="Q285">
        <v>320</v>
      </c>
      <c r="R285">
        <v>408</v>
      </c>
    </row>
    <row r="286" spans="1:18" x14ac:dyDescent="0.35">
      <c r="A286" s="3">
        <v>43344</v>
      </c>
      <c r="B286" s="4">
        <f t="shared" si="8"/>
        <v>9</v>
      </c>
      <c r="C286" s="4">
        <f t="shared" si="9"/>
        <v>2018</v>
      </c>
      <c r="D286">
        <v>2796.1365999999998</v>
      </c>
      <c r="E286">
        <v>8.4215999999999998</v>
      </c>
      <c r="F286">
        <v>0</v>
      </c>
      <c r="G286">
        <v>2747.1388000000002</v>
      </c>
      <c r="H286">
        <v>40.5762</v>
      </c>
      <c r="I286">
        <v>8876.5560000000005</v>
      </c>
      <c r="J286">
        <v>13.939</v>
      </c>
      <c r="K286">
        <v>0</v>
      </c>
      <c r="L286">
        <v>8757.3979999999992</v>
      </c>
      <c r="M286">
        <v>105.21899999999999</v>
      </c>
      <c r="N286">
        <v>315</v>
      </c>
      <c r="O286">
        <v>604</v>
      </c>
      <c r="P286">
        <v>0</v>
      </c>
      <c r="Q286">
        <v>314</v>
      </c>
      <c r="R286">
        <v>386</v>
      </c>
    </row>
    <row r="287" spans="1:18" x14ac:dyDescent="0.35">
      <c r="A287" s="3">
        <v>43374</v>
      </c>
      <c r="B287" s="4">
        <f t="shared" si="8"/>
        <v>10</v>
      </c>
      <c r="C287" s="4">
        <f t="shared" si="9"/>
        <v>2018</v>
      </c>
      <c r="D287">
        <v>3115.6071999999999</v>
      </c>
      <c r="E287">
        <v>10.6417</v>
      </c>
      <c r="F287">
        <v>0</v>
      </c>
      <c r="G287">
        <v>3064.1378</v>
      </c>
      <c r="H287">
        <v>40.8277</v>
      </c>
      <c r="I287">
        <v>9654.0949999999993</v>
      </c>
      <c r="J287">
        <v>17.495999999999999</v>
      </c>
      <c r="K287">
        <v>0</v>
      </c>
      <c r="L287">
        <v>9532.9590000000007</v>
      </c>
      <c r="M287">
        <v>103.64</v>
      </c>
      <c r="N287">
        <v>323</v>
      </c>
      <c r="O287">
        <v>608</v>
      </c>
      <c r="P287">
        <v>0</v>
      </c>
      <c r="Q287">
        <v>321</v>
      </c>
      <c r="R287">
        <v>394</v>
      </c>
    </row>
    <row r="288" spans="1:18" x14ac:dyDescent="0.35">
      <c r="A288" s="3">
        <v>43405</v>
      </c>
      <c r="B288" s="4">
        <f t="shared" si="8"/>
        <v>11</v>
      </c>
      <c r="C288" s="4">
        <f t="shared" si="9"/>
        <v>2018</v>
      </c>
      <c r="D288">
        <v>3005.4157</v>
      </c>
      <c r="E288">
        <v>11.0495</v>
      </c>
      <c r="F288">
        <v>0</v>
      </c>
      <c r="G288">
        <v>2964.7637</v>
      </c>
      <c r="H288">
        <v>29.602499999999999</v>
      </c>
      <c r="I288">
        <v>8803.52</v>
      </c>
      <c r="J288">
        <v>16.788</v>
      </c>
      <c r="K288">
        <v>0</v>
      </c>
      <c r="L288">
        <v>8676.7379999999994</v>
      </c>
      <c r="M288">
        <v>109.994</v>
      </c>
      <c r="N288">
        <v>341</v>
      </c>
      <c r="O288">
        <v>658</v>
      </c>
      <c r="P288">
        <v>0</v>
      </c>
      <c r="Q288">
        <v>342</v>
      </c>
      <c r="R288">
        <v>269</v>
      </c>
    </row>
    <row r="289" spans="1:18" x14ac:dyDescent="0.35">
      <c r="A289" s="3">
        <v>43435</v>
      </c>
      <c r="B289" s="4">
        <f t="shared" si="8"/>
        <v>12</v>
      </c>
      <c r="C289" s="4">
        <f t="shared" si="9"/>
        <v>2018</v>
      </c>
      <c r="D289">
        <v>3021.2516000000001</v>
      </c>
      <c r="E289">
        <v>15.2807</v>
      </c>
      <c r="F289">
        <v>0</v>
      </c>
      <c r="G289">
        <v>2909.5567000000001</v>
      </c>
      <c r="H289">
        <v>96.414199999999994</v>
      </c>
      <c r="I289">
        <v>9516.2790000000005</v>
      </c>
      <c r="J289">
        <v>22.992000000000001</v>
      </c>
      <c r="K289">
        <v>0</v>
      </c>
      <c r="L289">
        <v>9289.2450000000008</v>
      </c>
      <c r="M289">
        <v>204.042</v>
      </c>
      <c r="N289">
        <v>317</v>
      </c>
      <c r="O289">
        <v>665</v>
      </c>
      <c r="P289">
        <v>0</v>
      </c>
      <c r="Q289">
        <v>313</v>
      </c>
      <c r="R289">
        <v>473</v>
      </c>
    </row>
    <row r="290" spans="1:18" x14ac:dyDescent="0.35">
      <c r="A290" s="3">
        <v>43466</v>
      </c>
      <c r="B290" s="4">
        <f t="shared" si="8"/>
        <v>1</v>
      </c>
      <c r="C290" s="4">
        <f t="shared" si="9"/>
        <v>2019</v>
      </c>
      <c r="D290">
        <v>2527.5581000000002</v>
      </c>
      <c r="E290">
        <v>15.6075</v>
      </c>
      <c r="F290">
        <v>0</v>
      </c>
      <c r="G290">
        <v>2468.3361</v>
      </c>
      <c r="H290">
        <v>43.614600000000003</v>
      </c>
      <c r="I290">
        <v>8113.1009999999997</v>
      </c>
      <c r="J290">
        <v>23.652999999999999</v>
      </c>
      <c r="K290">
        <v>0</v>
      </c>
      <c r="L290">
        <v>7983.2489999999998</v>
      </c>
      <c r="M290">
        <v>106.199</v>
      </c>
      <c r="N290">
        <v>312</v>
      </c>
      <c r="O290">
        <v>660</v>
      </c>
      <c r="P290">
        <v>0</v>
      </c>
      <c r="Q290">
        <v>309</v>
      </c>
      <c r="R290">
        <v>411</v>
      </c>
    </row>
    <row r="291" spans="1:18" x14ac:dyDescent="0.35">
      <c r="A291" s="3">
        <v>43497</v>
      </c>
      <c r="B291" s="4">
        <f t="shared" si="8"/>
        <v>2</v>
      </c>
      <c r="C291" s="4">
        <f t="shared" si="9"/>
        <v>2019</v>
      </c>
      <c r="D291">
        <v>2506.4369000000002</v>
      </c>
      <c r="E291">
        <v>11.507099999999999</v>
      </c>
      <c r="F291">
        <v>0</v>
      </c>
      <c r="G291">
        <v>2465.3510999999999</v>
      </c>
      <c r="H291">
        <v>29.578700000000001</v>
      </c>
      <c r="I291">
        <v>8073.9210000000003</v>
      </c>
      <c r="J291">
        <v>17.209</v>
      </c>
      <c r="K291">
        <v>0</v>
      </c>
      <c r="L291">
        <v>7980.05</v>
      </c>
      <c r="M291">
        <v>76.662000000000006</v>
      </c>
      <c r="N291">
        <v>310</v>
      </c>
      <c r="O291">
        <v>669</v>
      </c>
      <c r="P291">
        <v>0</v>
      </c>
      <c r="Q291">
        <v>309</v>
      </c>
      <c r="R291">
        <v>386</v>
      </c>
    </row>
    <row r="292" spans="1:18" x14ac:dyDescent="0.35">
      <c r="A292" s="3">
        <v>43525</v>
      </c>
      <c r="B292" s="4">
        <f t="shared" si="8"/>
        <v>3</v>
      </c>
      <c r="C292" s="4">
        <f t="shared" si="9"/>
        <v>2019</v>
      </c>
      <c r="D292">
        <v>3038.1021999999998</v>
      </c>
      <c r="E292">
        <v>11.690799999999999</v>
      </c>
      <c r="F292">
        <v>0</v>
      </c>
      <c r="G292">
        <v>2996.2847000000002</v>
      </c>
      <c r="H292">
        <v>30.1267</v>
      </c>
      <c r="I292">
        <v>9528.0640000000003</v>
      </c>
      <c r="J292">
        <v>17.646000000000001</v>
      </c>
      <c r="K292">
        <v>0</v>
      </c>
      <c r="L292">
        <v>9418.3320000000003</v>
      </c>
      <c r="M292">
        <v>92.085999999999999</v>
      </c>
      <c r="N292">
        <v>319</v>
      </c>
      <c r="O292">
        <v>663</v>
      </c>
      <c r="P292">
        <v>0</v>
      </c>
      <c r="Q292">
        <v>318</v>
      </c>
      <c r="R292">
        <v>327</v>
      </c>
    </row>
    <row r="293" spans="1:18" x14ac:dyDescent="0.35">
      <c r="A293" s="3">
        <v>43556</v>
      </c>
      <c r="B293" s="4">
        <f t="shared" si="8"/>
        <v>4</v>
      </c>
      <c r="C293" s="4">
        <f t="shared" si="9"/>
        <v>2019</v>
      </c>
      <c r="D293">
        <v>3014.8780999999999</v>
      </c>
      <c r="E293">
        <v>11.056100000000001</v>
      </c>
      <c r="F293">
        <v>0</v>
      </c>
      <c r="G293">
        <v>2967.4524000000001</v>
      </c>
      <c r="H293">
        <v>36.369700000000002</v>
      </c>
      <c r="I293">
        <v>9396.2919999999995</v>
      </c>
      <c r="J293">
        <v>16.954999999999998</v>
      </c>
      <c r="K293">
        <v>0</v>
      </c>
      <c r="L293">
        <v>9298.9449999999997</v>
      </c>
      <c r="M293">
        <v>80.391999999999996</v>
      </c>
      <c r="N293">
        <v>321</v>
      </c>
      <c r="O293">
        <v>652</v>
      </c>
      <c r="P293">
        <v>0</v>
      </c>
      <c r="Q293">
        <v>319</v>
      </c>
      <c r="R293">
        <v>452</v>
      </c>
    </row>
    <row r="294" spans="1:18" x14ac:dyDescent="0.35">
      <c r="A294" s="3">
        <v>43586</v>
      </c>
      <c r="B294" s="4">
        <f t="shared" si="8"/>
        <v>5</v>
      </c>
      <c r="C294" s="4">
        <f t="shared" si="9"/>
        <v>2019</v>
      </c>
      <c r="D294">
        <v>3387.2534000000001</v>
      </c>
      <c r="E294">
        <v>12.0009</v>
      </c>
      <c r="F294">
        <v>0</v>
      </c>
      <c r="G294">
        <v>3343.8130999999998</v>
      </c>
      <c r="H294">
        <v>31.439499999999999</v>
      </c>
      <c r="I294">
        <v>10537.108</v>
      </c>
      <c r="J294">
        <v>18.286999999999999</v>
      </c>
      <c r="K294">
        <v>0</v>
      </c>
      <c r="L294">
        <v>10434.232</v>
      </c>
      <c r="M294">
        <v>84.588999999999999</v>
      </c>
      <c r="N294">
        <v>321</v>
      </c>
      <c r="O294">
        <v>656</v>
      </c>
      <c r="P294">
        <v>0</v>
      </c>
      <c r="Q294">
        <v>320</v>
      </c>
      <c r="R294">
        <v>372</v>
      </c>
    </row>
    <row r="295" spans="1:18" x14ac:dyDescent="0.35">
      <c r="A295" s="3">
        <v>43617</v>
      </c>
      <c r="B295" s="4">
        <f t="shared" si="8"/>
        <v>6</v>
      </c>
      <c r="C295" s="4">
        <f t="shared" si="9"/>
        <v>2019</v>
      </c>
      <c r="D295">
        <v>3293.2442000000001</v>
      </c>
      <c r="E295">
        <v>10.6777</v>
      </c>
      <c r="F295">
        <v>0</v>
      </c>
      <c r="G295">
        <v>3253.6590999999999</v>
      </c>
      <c r="H295">
        <v>28.907299999999999</v>
      </c>
      <c r="I295">
        <v>9839.07</v>
      </c>
      <c r="J295">
        <v>15.85</v>
      </c>
      <c r="K295">
        <v>0</v>
      </c>
      <c r="L295">
        <v>9730.1110000000008</v>
      </c>
      <c r="M295">
        <v>93.108999999999995</v>
      </c>
      <c r="N295">
        <v>335</v>
      </c>
      <c r="O295">
        <v>674</v>
      </c>
      <c r="P295">
        <v>0</v>
      </c>
      <c r="Q295">
        <v>334</v>
      </c>
      <c r="R295">
        <v>310</v>
      </c>
    </row>
    <row r="296" spans="1:18" x14ac:dyDescent="0.35">
      <c r="A296" s="3">
        <v>43647</v>
      </c>
      <c r="B296" s="4">
        <f t="shared" si="8"/>
        <v>7</v>
      </c>
      <c r="C296" s="4">
        <f t="shared" si="9"/>
        <v>2019</v>
      </c>
      <c r="D296">
        <v>3371.3038999999999</v>
      </c>
      <c r="E296">
        <v>13.494400000000001</v>
      </c>
      <c r="F296">
        <v>0</v>
      </c>
      <c r="G296">
        <v>3325.3478</v>
      </c>
      <c r="H296">
        <v>32.4617</v>
      </c>
      <c r="I296">
        <v>9940.3809999999994</v>
      </c>
      <c r="J296">
        <v>19.381</v>
      </c>
      <c r="K296">
        <v>0</v>
      </c>
      <c r="L296">
        <v>9822.4809999999998</v>
      </c>
      <c r="M296">
        <v>98.519000000000005</v>
      </c>
      <c r="N296">
        <v>339</v>
      </c>
      <c r="O296">
        <v>696</v>
      </c>
      <c r="P296">
        <v>0</v>
      </c>
      <c r="Q296">
        <v>339</v>
      </c>
      <c r="R296">
        <v>329</v>
      </c>
    </row>
    <row r="297" spans="1:18" x14ac:dyDescent="0.35">
      <c r="A297" s="3">
        <v>43678</v>
      </c>
      <c r="B297" s="4">
        <f t="shared" si="8"/>
        <v>8</v>
      </c>
      <c r="C297" s="4">
        <f t="shared" si="9"/>
        <v>2019</v>
      </c>
      <c r="D297">
        <v>3487.4940000000001</v>
      </c>
      <c r="E297">
        <v>12.0129</v>
      </c>
      <c r="F297">
        <v>0</v>
      </c>
      <c r="G297">
        <v>3453.4524000000001</v>
      </c>
      <c r="H297">
        <v>22.0288</v>
      </c>
      <c r="I297">
        <v>10148.002</v>
      </c>
      <c r="J297">
        <v>17.010000000000002</v>
      </c>
      <c r="K297">
        <v>0</v>
      </c>
      <c r="L297">
        <v>10074.477999999999</v>
      </c>
      <c r="M297">
        <v>56.514000000000003</v>
      </c>
      <c r="N297">
        <v>344</v>
      </c>
      <c r="O297">
        <v>706</v>
      </c>
      <c r="P297">
        <v>0</v>
      </c>
      <c r="Q297">
        <v>343</v>
      </c>
      <c r="R297">
        <v>390</v>
      </c>
    </row>
    <row r="298" spans="1:18" x14ac:dyDescent="0.35">
      <c r="A298" s="3">
        <v>43709</v>
      </c>
      <c r="B298" s="4">
        <f t="shared" si="8"/>
        <v>9</v>
      </c>
      <c r="C298" s="4">
        <f t="shared" si="9"/>
        <v>2019</v>
      </c>
      <c r="D298">
        <v>3181.9306999999999</v>
      </c>
      <c r="E298">
        <v>9.4242000000000008</v>
      </c>
      <c r="F298">
        <v>0</v>
      </c>
      <c r="G298">
        <v>3152.6972999999998</v>
      </c>
      <c r="H298">
        <v>19.809200000000001</v>
      </c>
      <c r="I298">
        <v>9701.7729999999992</v>
      </c>
      <c r="J298">
        <v>14.118</v>
      </c>
      <c r="K298">
        <v>0</v>
      </c>
      <c r="L298">
        <v>9629.009</v>
      </c>
      <c r="M298">
        <v>58.646000000000001</v>
      </c>
      <c r="N298">
        <v>328</v>
      </c>
      <c r="O298">
        <v>668</v>
      </c>
      <c r="P298">
        <v>0</v>
      </c>
      <c r="Q298">
        <v>327</v>
      </c>
      <c r="R298">
        <v>338</v>
      </c>
    </row>
    <row r="299" spans="1:18" x14ac:dyDescent="0.35">
      <c r="A299" s="3">
        <v>43739</v>
      </c>
      <c r="B299" s="4">
        <f t="shared" si="8"/>
        <v>10</v>
      </c>
      <c r="C299" s="4">
        <f t="shared" si="9"/>
        <v>2019</v>
      </c>
      <c r="D299">
        <v>3238.0284000000001</v>
      </c>
      <c r="E299">
        <v>10.1525</v>
      </c>
      <c r="F299">
        <v>0</v>
      </c>
      <c r="G299">
        <v>3207.0513000000001</v>
      </c>
      <c r="H299">
        <v>20.8246</v>
      </c>
      <c r="I299">
        <v>10051.686</v>
      </c>
      <c r="J299">
        <v>15.22</v>
      </c>
      <c r="K299">
        <v>0</v>
      </c>
      <c r="L299">
        <v>9979.9330000000009</v>
      </c>
      <c r="M299">
        <v>56.533000000000001</v>
      </c>
      <c r="N299">
        <v>322</v>
      </c>
      <c r="O299">
        <v>667</v>
      </c>
      <c r="P299">
        <v>0</v>
      </c>
      <c r="Q299">
        <v>321</v>
      </c>
      <c r="R299">
        <v>368</v>
      </c>
    </row>
    <row r="300" spans="1:18" x14ac:dyDescent="0.35">
      <c r="A300" s="3">
        <v>43770</v>
      </c>
      <c r="B300" s="4">
        <f t="shared" si="8"/>
        <v>11</v>
      </c>
      <c r="C300" s="4">
        <f t="shared" si="9"/>
        <v>2019</v>
      </c>
      <c r="D300">
        <v>3006.5140000000001</v>
      </c>
      <c r="E300">
        <v>10.5337</v>
      </c>
      <c r="F300">
        <v>0</v>
      </c>
      <c r="G300">
        <v>2974.4236999999998</v>
      </c>
      <c r="H300">
        <v>21.5566</v>
      </c>
      <c r="I300">
        <v>9131.2829999999994</v>
      </c>
      <c r="J300">
        <v>15.214</v>
      </c>
      <c r="K300">
        <v>0</v>
      </c>
      <c r="L300">
        <v>9049.6479999999992</v>
      </c>
      <c r="M300">
        <v>66.421000000000006</v>
      </c>
      <c r="N300">
        <v>329</v>
      </c>
      <c r="O300">
        <v>692</v>
      </c>
      <c r="P300">
        <v>0</v>
      </c>
      <c r="Q300">
        <v>329</v>
      </c>
      <c r="R300">
        <v>325</v>
      </c>
    </row>
    <row r="301" spans="1:18" x14ac:dyDescent="0.35">
      <c r="A301" s="3">
        <v>43800</v>
      </c>
      <c r="B301" s="4">
        <f t="shared" si="8"/>
        <v>12</v>
      </c>
      <c r="C301" s="4">
        <f t="shared" si="9"/>
        <v>2019</v>
      </c>
      <c r="D301">
        <v>3197.7419</v>
      </c>
      <c r="E301">
        <v>15.0284</v>
      </c>
      <c r="F301">
        <v>0</v>
      </c>
      <c r="G301">
        <v>3125.5241999999998</v>
      </c>
      <c r="H301">
        <v>57.189300000000003</v>
      </c>
      <c r="I301">
        <v>9785.134</v>
      </c>
      <c r="J301">
        <v>21.163</v>
      </c>
      <c r="K301">
        <v>0</v>
      </c>
      <c r="L301">
        <v>9624.9750000000004</v>
      </c>
      <c r="M301">
        <v>138.99600000000001</v>
      </c>
      <c r="N301">
        <v>327</v>
      </c>
      <c r="O301">
        <v>710</v>
      </c>
      <c r="P301">
        <v>0</v>
      </c>
      <c r="Q301">
        <v>325</v>
      </c>
      <c r="R301">
        <v>411</v>
      </c>
    </row>
    <row r="302" spans="1:18" x14ac:dyDescent="0.35">
      <c r="A302" s="3">
        <v>43831</v>
      </c>
      <c r="B302" s="4">
        <f t="shared" si="8"/>
        <v>1</v>
      </c>
      <c r="C302" s="4">
        <f t="shared" si="9"/>
        <v>2020</v>
      </c>
      <c r="D302">
        <v>2676.6262999999999</v>
      </c>
      <c r="E302">
        <v>15.700699999999999</v>
      </c>
      <c r="F302">
        <v>0</v>
      </c>
      <c r="G302">
        <v>2621.6896000000002</v>
      </c>
      <c r="H302">
        <v>39.235999999999997</v>
      </c>
      <c r="I302">
        <v>8337.7669999999998</v>
      </c>
      <c r="J302">
        <v>22.088000000000001</v>
      </c>
      <c r="K302">
        <v>0</v>
      </c>
      <c r="L302">
        <v>8241.1010000000006</v>
      </c>
      <c r="M302">
        <v>74.578000000000003</v>
      </c>
      <c r="N302">
        <v>321</v>
      </c>
      <c r="O302">
        <v>711</v>
      </c>
      <c r="P302">
        <v>0</v>
      </c>
      <c r="Q302">
        <v>318</v>
      </c>
      <c r="R302">
        <v>526</v>
      </c>
    </row>
    <row r="303" spans="1:18" x14ac:dyDescent="0.35">
      <c r="A303" s="3">
        <v>43862</v>
      </c>
      <c r="B303" s="4">
        <f t="shared" si="8"/>
        <v>2</v>
      </c>
      <c r="C303" s="4">
        <f t="shared" si="9"/>
        <v>2020</v>
      </c>
      <c r="D303">
        <v>2803.4987999999998</v>
      </c>
      <c r="E303">
        <v>11.244899999999999</v>
      </c>
      <c r="F303">
        <v>0</v>
      </c>
      <c r="G303">
        <v>2767.0142999999998</v>
      </c>
      <c r="H303">
        <v>25.2395</v>
      </c>
      <c r="I303">
        <v>8729.116</v>
      </c>
      <c r="J303">
        <v>16.106000000000002</v>
      </c>
      <c r="K303">
        <v>0</v>
      </c>
      <c r="L303">
        <v>8647.1880000000001</v>
      </c>
      <c r="M303">
        <v>65.822000000000003</v>
      </c>
      <c r="N303">
        <v>321</v>
      </c>
      <c r="O303">
        <v>698</v>
      </c>
      <c r="P303">
        <v>0</v>
      </c>
      <c r="Q303">
        <v>320</v>
      </c>
      <c r="R303">
        <v>383</v>
      </c>
    </row>
    <row r="304" spans="1:18" x14ac:dyDescent="0.35">
      <c r="A304" s="3">
        <v>43891</v>
      </c>
      <c r="B304" s="4">
        <f t="shared" si="8"/>
        <v>3</v>
      </c>
      <c r="C304" s="4">
        <f t="shared" si="9"/>
        <v>2020</v>
      </c>
      <c r="D304">
        <v>4147.1145999999999</v>
      </c>
      <c r="E304">
        <v>13.703200000000001</v>
      </c>
      <c r="F304">
        <v>0</v>
      </c>
      <c r="G304">
        <v>4119.9465</v>
      </c>
      <c r="H304">
        <v>13.4649</v>
      </c>
      <c r="I304">
        <v>10992.311</v>
      </c>
      <c r="J304">
        <v>17.366</v>
      </c>
      <c r="K304">
        <v>0</v>
      </c>
      <c r="L304">
        <v>10925.642</v>
      </c>
      <c r="M304">
        <v>49.302999999999997</v>
      </c>
      <c r="N304">
        <v>377</v>
      </c>
      <c r="O304">
        <v>789</v>
      </c>
      <c r="P304">
        <v>0</v>
      </c>
      <c r="Q304">
        <v>377</v>
      </c>
      <c r="R304">
        <v>273</v>
      </c>
    </row>
    <row r="305" spans="1:18" x14ac:dyDescent="0.35">
      <c r="A305" s="3">
        <v>43922</v>
      </c>
      <c r="B305" s="4">
        <f t="shared" si="8"/>
        <v>4</v>
      </c>
      <c r="C305" s="4">
        <f t="shared" si="9"/>
        <v>2020</v>
      </c>
      <c r="D305">
        <v>2982.6531</v>
      </c>
      <c r="E305">
        <v>8.2576999999999998</v>
      </c>
      <c r="F305">
        <v>0</v>
      </c>
      <c r="G305">
        <v>2951.8384999999998</v>
      </c>
      <c r="H305">
        <v>22.556899999999999</v>
      </c>
      <c r="I305">
        <v>9036.4009999999998</v>
      </c>
      <c r="J305">
        <v>10.654</v>
      </c>
      <c r="K305">
        <v>0</v>
      </c>
      <c r="L305">
        <v>8967.491</v>
      </c>
      <c r="M305">
        <v>58.256</v>
      </c>
      <c r="N305">
        <v>330</v>
      </c>
      <c r="O305">
        <v>775</v>
      </c>
      <c r="P305">
        <v>0</v>
      </c>
      <c r="Q305">
        <v>329</v>
      </c>
      <c r="R305">
        <v>387</v>
      </c>
    </row>
    <row r="306" spans="1:18" x14ac:dyDescent="0.35">
      <c r="A306" s="3">
        <v>43952</v>
      </c>
      <c r="B306" s="4">
        <f t="shared" si="8"/>
        <v>5</v>
      </c>
      <c r="C306" s="4">
        <f t="shared" si="9"/>
        <v>2020</v>
      </c>
      <c r="D306">
        <v>3541.8263000000002</v>
      </c>
      <c r="E306">
        <v>9.2713999999999999</v>
      </c>
      <c r="F306">
        <v>0</v>
      </c>
      <c r="G306">
        <v>3511.1154000000001</v>
      </c>
      <c r="H306">
        <v>21.439499999999999</v>
      </c>
      <c r="I306">
        <v>11058.406000000001</v>
      </c>
      <c r="J306">
        <v>12.069000000000001</v>
      </c>
      <c r="K306">
        <v>0</v>
      </c>
      <c r="L306">
        <v>10984.450999999999</v>
      </c>
      <c r="M306">
        <v>61.886000000000003</v>
      </c>
      <c r="N306">
        <v>320</v>
      </c>
      <c r="O306">
        <v>768</v>
      </c>
      <c r="P306">
        <v>0</v>
      </c>
      <c r="Q306">
        <v>320</v>
      </c>
      <c r="R306">
        <v>346</v>
      </c>
    </row>
    <row r="307" spans="1:18" x14ac:dyDescent="0.35">
      <c r="A307" s="3">
        <v>43983</v>
      </c>
      <c r="B307" s="4">
        <f t="shared" si="8"/>
        <v>6</v>
      </c>
      <c r="C307" s="4">
        <f t="shared" si="9"/>
        <v>2020</v>
      </c>
      <c r="D307">
        <v>3630.6224999999999</v>
      </c>
      <c r="E307">
        <v>11.351000000000001</v>
      </c>
      <c r="F307">
        <v>0</v>
      </c>
      <c r="G307">
        <v>3596.6003999999998</v>
      </c>
      <c r="H307">
        <v>22.671099999999999</v>
      </c>
      <c r="I307">
        <v>10652.109</v>
      </c>
      <c r="J307">
        <v>14.275</v>
      </c>
      <c r="K307">
        <v>0</v>
      </c>
      <c r="L307">
        <v>10570.772999999999</v>
      </c>
      <c r="M307">
        <v>67.061000000000007</v>
      </c>
      <c r="N307">
        <v>341</v>
      </c>
      <c r="O307">
        <v>795</v>
      </c>
      <c r="P307">
        <v>0</v>
      </c>
      <c r="Q307">
        <v>340</v>
      </c>
      <c r="R307">
        <v>338</v>
      </c>
    </row>
    <row r="308" spans="1:18" x14ac:dyDescent="0.35">
      <c r="A308" s="3">
        <v>44013</v>
      </c>
      <c r="B308" s="4">
        <f t="shared" si="8"/>
        <v>7</v>
      </c>
      <c r="C308" s="4">
        <f t="shared" si="9"/>
        <v>2020</v>
      </c>
      <c r="D308">
        <v>3629.1536999999998</v>
      </c>
      <c r="E308">
        <v>11.587400000000001</v>
      </c>
      <c r="F308">
        <v>0</v>
      </c>
      <c r="G308">
        <v>3592.6284000000001</v>
      </c>
      <c r="H308">
        <v>24.937899999999999</v>
      </c>
      <c r="I308">
        <v>10563.648999999999</v>
      </c>
      <c r="J308">
        <v>14.04</v>
      </c>
      <c r="K308">
        <v>0</v>
      </c>
      <c r="L308">
        <v>10475.803</v>
      </c>
      <c r="M308">
        <v>73.805999999999997</v>
      </c>
      <c r="N308">
        <v>344</v>
      </c>
      <c r="O308">
        <v>825</v>
      </c>
      <c r="P308">
        <v>0</v>
      </c>
      <c r="Q308">
        <v>343</v>
      </c>
      <c r="R308">
        <v>338</v>
      </c>
    </row>
    <row r="309" spans="1:18" x14ac:dyDescent="0.35">
      <c r="A309" s="3">
        <v>44044</v>
      </c>
      <c r="B309" s="4">
        <f t="shared" si="8"/>
        <v>8</v>
      </c>
      <c r="C309" s="4">
        <f t="shared" si="9"/>
        <v>2020</v>
      </c>
      <c r="D309">
        <v>3654.1707000000001</v>
      </c>
      <c r="E309">
        <v>11.2454</v>
      </c>
      <c r="F309">
        <v>0</v>
      </c>
      <c r="G309">
        <v>3626.1273999999999</v>
      </c>
      <c r="H309">
        <v>16.797899999999998</v>
      </c>
      <c r="I309">
        <v>10700.012000000001</v>
      </c>
      <c r="J309">
        <v>13.366</v>
      </c>
      <c r="K309">
        <v>0</v>
      </c>
      <c r="L309">
        <v>10638.432000000001</v>
      </c>
      <c r="M309">
        <v>48.213999999999999</v>
      </c>
      <c r="N309">
        <v>342</v>
      </c>
      <c r="O309">
        <v>841</v>
      </c>
      <c r="P309">
        <v>0</v>
      </c>
      <c r="Q309">
        <v>341</v>
      </c>
      <c r="R309">
        <v>348</v>
      </c>
    </row>
    <row r="310" spans="1:18" x14ac:dyDescent="0.35">
      <c r="A310" s="3">
        <v>44075</v>
      </c>
      <c r="B310" s="4">
        <f t="shared" si="8"/>
        <v>9</v>
      </c>
      <c r="C310" s="4">
        <f t="shared" si="9"/>
        <v>2020</v>
      </c>
      <c r="D310">
        <v>3673.8418999999999</v>
      </c>
      <c r="E310">
        <v>11.4102</v>
      </c>
      <c r="F310">
        <v>0</v>
      </c>
      <c r="G310">
        <v>3646.5540999999998</v>
      </c>
      <c r="H310">
        <v>15.877700000000001</v>
      </c>
      <c r="I310">
        <v>10575.437</v>
      </c>
      <c r="J310">
        <v>14.239000000000001</v>
      </c>
      <c r="K310">
        <v>0</v>
      </c>
      <c r="L310">
        <v>10519.904</v>
      </c>
      <c r="M310">
        <v>41.293999999999997</v>
      </c>
      <c r="N310">
        <v>347</v>
      </c>
      <c r="O310">
        <v>801</v>
      </c>
      <c r="P310">
        <v>0</v>
      </c>
      <c r="Q310">
        <v>347</v>
      </c>
      <c r="R310">
        <v>385</v>
      </c>
    </row>
    <row r="311" spans="1:18" x14ac:dyDescent="0.35">
      <c r="A311" s="3">
        <v>44105</v>
      </c>
      <c r="B311" s="4">
        <f t="shared" si="8"/>
        <v>10</v>
      </c>
      <c r="C311" s="4">
        <f t="shared" si="9"/>
        <v>2020</v>
      </c>
      <c r="D311">
        <v>3715.2525000000001</v>
      </c>
      <c r="E311">
        <v>11.231199999999999</v>
      </c>
      <c r="F311">
        <v>0</v>
      </c>
      <c r="G311">
        <v>3684.8987000000002</v>
      </c>
      <c r="H311">
        <v>19.122599999999998</v>
      </c>
      <c r="I311">
        <v>10858.031999999999</v>
      </c>
      <c r="J311">
        <v>13.702999999999999</v>
      </c>
      <c r="K311">
        <v>0</v>
      </c>
      <c r="L311">
        <v>10798.878000000001</v>
      </c>
      <c r="M311">
        <v>45.451000000000001</v>
      </c>
      <c r="N311">
        <v>342</v>
      </c>
      <c r="O311">
        <v>820</v>
      </c>
      <c r="P311">
        <v>0</v>
      </c>
      <c r="Q311">
        <v>341</v>
      </c>
      <c r="R311">
        <v>421</v>
      </c>
    </row>
    <row r="312" spans="1:18" x14ac:dyDescent="0.35">
      <c r="A312" s="3">
        <v>44136</v>
      </c>
      <c r="B312" s="4">
        <f t="shared" si="8"/>
        <v>11</v>
      </c>
      <c r="C312" s="4">
        <f t="shared" si="9"/>
        <v>2020</v>
      </c>
      <c r="D312">
        <v>3491.9472999999998</v>
      </c>
      <c r="E312">
        <v>11.209</v>
      </c>
      <c r="F312">
        <v>0</v>
      </c>
      <c r="G312">
        <v>3458.8591000000001</v>
      </c>
      <c r="H312">
        <v>21.879100000000001</v>
      </c>
      <c r="I312">
        <v>9995.9719999999998</v>
      </c>
      <c r="J312">
        <v>13.462999999999999</v>
      </c>
      <c r="K312">
        <v>0</v>
      </c>
      <c r="L312">
        <v>9929.0769999999993</v>
      </c>
      <c r="M312">
        <v>53.432000000000002</v>
      </c>
      <c r="N312">
        <v>349</v>
      </c>
      <c r="O312">
        <v>833</v>
      </c>
      <c r="P312">
        <v>0</v>
      </c>
      <c r="Q312">
        <v>348</v>
      </c>
      <c r="R312">
        <v>409</v>
      </c>
    </row>
    <row r="313" spans="1:18" x14ac:dyDescent="0.35">
      <c r="A313" s="3">
        <v>44166</v>
      </c>
      <c r="B313" s="4">
        <f t="shared" si="8"/>
        <v>12</v>
      </c>
      <c r="C313" s="4">
        <f t="shared" si="9"/>
        <v>2020</v>
      </c>
      <c r="D313">
        <v>3757.2255</v>
      </c>
      <c r="E313">
        <v>23.1203</v>
      </c>
      <c r="F313">
        <v>0</v>
      </c>
      <c r="G313">
        <v>3706.3474000000001</v>
      </c>
      <c r="H313">
        <v>27.7577</v>
      </c>
      <c r="I313">
        <v>11058.271000000001</v>
      </c>
      <c r="J313">
        <v>25.184999999999999</v>
      </c>
      <c r="K313">
        <v>0</v>
      </c>
      <c r="L313">
        <v>10956.963</v>
      </c>
      <c r="M313">
        <v>76.123000000000005</v>
      </c>
      <c r="N313">
        <v>340</v>
      </c>
      <c r="O313">
        <v>918</v>
      </c>
      <c r="P313">
        <v>0</v>
      </c>
      <c r="Q313">
        <v>338</v>
      </c>
      <c r="R313">
        <v>365</v>
      </c>
    </row>
    <row r="314" spans="1:18" x14ac:dyDescent="0.35">
      <c r="A314" s="3">
        <v>44197</v>
      </c>
      <c r="B314" s="4">
        <f t="shared" si="8"/>
        <v>1</v>
      </c>
      <c r="C314" s="4">
        <f t="shared" si="9"/>
        <v>2021</v>
      </c>
      <c r="D314">
        <v>3392.8085000000001</v>
      </c>
      <c r="E314">
        <v>16.558</v>
      </c>
      <c r="F314">
        <v>0</v>
      </c>
      <c r="G314">
        <v>3360.2208999999998</v>
      </c>
      <c r="H314">
        <v>16.029499999999999</v>
      </c>
      <c r="I314">
        <v>9869.2129999999997</v>
      </c>
      <c r="J314">
        <v>18.568000000000001</v>
      </c>
      <c r="K314">
        <v>0</v>
      </c>
      <c r="L314">
        <v>9812.7090000000007</v>
      </c>
      <c r="M314">
        <v>37.936</v>
      </c>
      <c r="N314">
        <v>344</v>
      </c>
      <c r="O314">
        <v>892</v>
      </c>
      <c r="P314">
        <v>0</v>
      </c>
      <c r="Q314">
        <v>342</v>
      </c>
      <c r="R314">
        <v>423</v>
      </c>
    </row>
    <row r="315" spans="1:18" x14ac:dyDescent="0.35">
      <c r="A315" s="3">
        <v>44228</v>
      </c>
      <c r="B315" s="4">
        <f t="shared" si="8"/>
        <v>2</v>
      </c>
      <c r="C315" s="4">
        <f t="shared" si="9"/>
        <v>2021</v>
      </c>
      <c r="D315">
        <v>3264.1015000000002</v>
      </c>
      <c r="E315">
        <v>14.728899999999999</v>
      </c>
      <c r="F315">
        <v>0</v>
      </c>
      <c r="G315">
        <v>3237.7368999999999</v>
      </c>
      <c r="H315">
        <v>11.6357</v>
      </c>
      <c r="I315">
        <v>9286.1139999999996</v>
      </c>
      <c r="J315">
        <v>16.96</v>
      </c>
      <c r="K315">
        <v>0</v>
      </c>
      <c r="L315">
        <v>9238.4940000000006</v>
      </c>
      <c r="M315">
        <v>30.66</v>
      </c>
      <c r="N315">
        <v>352</v>
      </c>
      <c r="O315">
        <v>868</v>
      </c>
      <c r="P315">
        <v>0</v>
      </c>
      <c r="Q315">
        <v>350</v>
      </c>
      <c r="R315">
        <v>380</v>
      </c>
    </row>
    <row r="316" spans="1:18" x14ac:dyDescent="0.35">
      <c r="A316" s="3">
        <v>44256</v>
      </c>
      <c r="B316" s="4">
        <f t="shared" si="8"/>
        <v>3</v>
      </c>
      <c r="C316" s="4">
        <f t="shared" si="9"/>
        <v>2021</v>
      </c>
      <c r="D316">
        <v>4275.0937000000004</v>
      </c>
      <c r="E316">
        <v>18.1523</v>
      </c>
      <c r="F316">
        <v>0</v>
      </c>
      <c r="G316">
        <v>4241.1098000000002</v>
      </c>
      <c r="H316">
        <v>15.8316</v>
      </c>
      <c r="I316">
        <v>11503.575999999999</v>
      </c>
      <c r="J316">
        <v>21.425000000000001</v>
      </c>
      <c r="K316">
        <v>0</v>
      </c>
      <c r="L316">
        <v>11442.797</v>
      </c>
      <c r="M316">
        <v>39.353999999999999</v>
      </c>
      <c r="N316">
        <v>372</v>
      </c>
      <c r="O316">
        <v>847</v>
      </c>
      <c r="P316">
        <v>0</v>
      </c>
      <c r="Q316">
        <v>371</v>
      </c>
      <c r="R316">
        <v>402</v>
      </c>
    </row>
    <row r="317" spans="1:18" x14ac:dyDescent="0.35">
      <c r="A317" s="3">
        <v>44287</v>
      </c>
      <c r="B317" s="4">
        <f t="shared" si="8"/>
        <v>4</v>
      </c>
      <c r="C317" s="4">
        <f t="shared" si="9"/>
        <v>2021</v>
      </c>
      <c r="D317">
        <v>4167.7596000000003</v>
      </c>
      <c r="E317">
        <v>14.606299999999999</v>
      </c>
      <c r="F317">
        <v>0</v>
      </c>
      <c r="G317">
        <v>4137.1224000000002</v>
      </c>
      <c r="H317">
        <v>16.030799999999999</v>
      </c>
      <c r="I317">
        <v>11108.811</v>
      </c>
      <c r="J317">
        <v>15.228</v>
      </c>
      <c r="K317">
        <v>0</v>
      </c>
      <c r="L317">
        <v>11053.735000000001</v>
      </c>
      <c r="M317">
        <v>39.847999999999999</v>
      </c>
      <c r="N317">
        <v>375</v>
      </c>
      <c r="O317">
        <v>959</v>
      </c>
      <c r="P317">
        <v>0</v>
      </c>
      <c r="Q317">
        <v>374</v>
      </c>
      <c r="R317">
        <v>402</v>
      </c>
    </row>
    <row r="318" spans="1:18" x14ac:dyDescent="0.35">
      <c r="A318" s="3">
        <v>44317</v>
      </c>
      <c r="B318" s="4">
        <f t="shared" si="8"/>
        <v>5</v>
      </c>
      <c r="C318" s="4">
        <f t="shared" si="9"/>
        <v>2021</v>
      </c>
      <c r="D318">
        <v>4677.3251</v>
      </c>
      <c r="E318">
        <v>20.183399999999999</v>
      </c>
      <c r="F318">
        <v>0</v>
      </c>
      <c r="G318">
        <v>4630.4305000000004</v>
      </c>
      <c r="H318">
        <v>26.711099999999998</v>
      </c>
      <c r="I318">
        <v>12725.484</v>
      </c>
      <c r="J318">
        <v>19.579000000000001</v>
      </c>
      <c r="K318">
        <v>0</v>
      </c>
      <c r="L318">
        <v>12638.732</v>
      </c>
      <c r="M318">
        <v>67.173000000000002</v>
      </c>
      <c r="N318">
        <v>368</v>
      </c>
      <c r="O318">
        <v>1031</v>
      </c>
      <c r="P318">
        <v>0</v>
      </c>
      <c r="Q318">
        <v>366</v>
      </c>
      <c r="R318">
        <v>398</v>
      </c>
    </row>
    <row r="319" spans="1:18" x14ac:dyDescent="0.35">
      <c r="A319" s="3">
        <v>44348</v>
      </c>
      <c r="B319" s="4">
        <f t="shared" si="8"/>
        <v>6</v>
      </c>
      <c r="C319" s="4">
        <f t="shared" si="9"/>
        <v>2021</v>
      </c>
      <c r="D319">
        <v>4605.3267999999998</v>
      </c>
      <c r="E319">
        <v>27.4953</v>
      </c>
      <c r="F319">
        <v>0</v>
      </c>
      <c r="G319">
        <v>4544.3316999999997</v>
      </c>
      <c r="H319">
        <v>33.4998</v>
      </c>
      <c r="I319">
        <v>11685.991</v>
      </c>
      <c r="J319">
        <v>24.106000000000002</v>
      </c>
      <c r="K319">
        <v>0</v>
      </c>
      <c r="L319">
        <v>11577.921</v>
      </c>
      <c r="M319">
        <v>83.963999999999999</v>
      </c>
      <c r="N319">
        <v>394</v>
      </c>
      <c r="O319">
        <v>1141</v>
      </c>
      <c r="P319">
        <v>0</v>
      </c>
      <c r="Q319">
        <v>392</v>
      </c>
      <c r="R319">
        <v>399</v>
      </c>
    </row>
    <row r="320" spans="1:18" x14ac:dyDescent="0.35">
      <c r="A320" s="3">
        <v>44378</v>
      </c>
      <c r="B320" s="4">
        <f t="shared" si="8"/>
        <v>7</v>
      </c>
      <c r="C320" s="4">
        <f t="shared" si="9"/>
        <v>2021</v>
      </c>
      <c r="D320">
        <v>4616.2582000000002</v>
      </c>
      <c r="E320">
        <v>18.900700000000001</v>
      </c>
      <c r="F320">
        <v>0</v>
      </c>
      <c r="G320">
        <v>4564.4956000000002</v>
      </c>
      <c r="H320">
        <v>32.861899999999999</v>
      </c>
      <c r="I320">
        <v>11802.096</v>
      </c>
      <c r="J320">
        <v>17.888999999999999</v>
      </c>
      <c r="K320">
        <v>0</v>
      </c>
      <c r="L320">
        <v>11709.367</v>
      </c>
      <c r="M320">
        <v>74.84</v>
      </c>
      <c r="N320">
        <v>391</v>
      </c>
      <c r="O320">
        <v>1057</v>
      </c>
      <c r="P320">
        <v>0</v>
      </c>
      <c r="Q320">
        <v>390</v>
      </c>
      <c r="R320">
        <v>439</v>
      </c>
    </row>
    <row r="321" spans="1:18" x14ac:dyDescent="0.35">
      <c r="A321" s="3">
        <v>44409</v>
      </c>
      <c r="B321" s="4">
        <f t="shared" si="8"/>
        <v>8</v>
      </c>
      <c r="C321" s="4">
        <f t="shared" si="9"/>
        <v>2021</v>
      </c>
      <c r="D321">
        <v>4776.7196000000004</v>
      </c>
      <c r="E321">
        <v>16.747699999999998</v>
      </c>
      <c r="F321">
        <v>0</v>
      </c>
      <c r="G321">
        <v>4735.5691999999999</v>
      </c>
      <c r="H321">
        <v>24.402799999999999</v>
      </c>
      <c r="I321">
        <v>12342.876</v>
      </c>
      <c r="J321">
        <v>16.135999999999999</v>
      </c>
      <c r="K321">
        <v>0</v>
      </c>
      <c r="L321">
        <v>12268.593999999999</v>
      </c>
      <c r="M321">
        <v>58.146000000000001</v>
      </c>
      <c r="N321">
        <v>387</v>
      </c>
      <c r="O321">
        <v>1038</v>
      </c>
      <c r="P321">
        <v>0</v>
      </c>
      <c r="Q321">
        <v>386</v>
      </c>
      <c r="R321">
        <v>420</v>
      </c>
    </row>
    <row r="322" spans="1:18" x14ac:dyDescent="0.35">
      <c r="A322" s="3">
        <v>44440</v>
      </c>
      <c r="B322" s="4">
        <f t="shared" si="8"/>
        <v>9</v>
      </c>
      <c r="C322" s="4">
        <f t="shared" si="9"/>
        <v>2021</v>
      </c>
      <c r="D322">
        <v>4436.0128000000004</v>
      </c>
      <c r="E322">
        <v>12.990500000000001</v>
      </c>
      <c r="F322">
        <v>0</v>
      </c>
      <c r="G322">
        <v>4399.4557000000004</v>
      </c>
      <c r="H322">
        <v>23.566700000000001</v>
      </c>
      <c r="I322">
        <v>11632.521000000001</v>
      </c>
      <c r="J322">
        <v>13.161</v>
      </c>
      <c r="K322">
        <v>0</v>
      </c>
      <c r="L322">
        <v>11555.627</v>
      </c>
      <c r="M322">
        <v>63.732999999999997</v>
      </c>
      <c r="N322">
        <v>381</v>
      </c>
      <c r="O322">
        <v>987</v>
      </c>
      <c r="P322">
        <v>0</v>
      </c>
      <c r="Q322">
        <v>381</v>
      </c>
      <c r="R322">
        <v>370</v>
      </c>
    </row>
    <row r="323" spans="1:18" x14ac:dyDescent="0.35">
      <c r="A323" s="3">
        <v>44470</v>
      </c>
      <c r="B323" s="4">
        <f t="shared" ref="B323:B354" si="10">MONTH(A323)</f>
        <v>10</v>
      </c>
      <c r="C323" s="4">
        <f t="shared" ref="C323:C354" si="11">YEAR(A323)</f>
        <v>2021</v>
      </c>
      <c r="D323">
        <v>4854.0865999999996</v>
      </c>
      <c r="E323">
        <v>13.374700000000001</v>
      </c>
      <c r="F323">
        <v>0</v>
      </c>
      <c r="G323">
        <v>4812.3553000000002</v>
      </c>
      <c r="H323">
        <v>28.3566</v>
      </c>
      <c r="I323">
        <v>12639.985000000001</v>
      </c>
      <c r="J323">
        <v>13.513</v>
      </c>
      <c r="K323">
        <v>0</v>
      </c>
      <c r="L323">
        <v>12550.637000000001</v>
      </c>
      <c r="M323">
        <v>75.834999999999994</v>
      </c>
      <c r="N323">
        <v>384</v>
      </c>
      <c r="O323">
        <v>990</v>
      </c>
      <c r="P323">
        <v>0</v>
      </c>
      <c r="Q323">
        <v>383</v>
      </c>
      <c r="R323">
        <v>374</v>
      </c>
    </row>
    <row r="324" spans="1:18" x14ac:dyDescent="0.35">
      <c r="A324" s="3">
        <v>44501</v>
      </c>
      <c r="B324" s="4">
        <f t="shared" si="10"/>
        <v>11</v>
      </c>
      <c r="C324" s="4">
        <f t="shared" si="11"/>
        <v>2021</v>
      </c>
      <c r="D324">
        <v>4689.3135000000002</v>
      </c>
      <c r="E324">
        <v>15.761799999999999</v>
      </c>
      <c r="F324">
        <v>0</v>
      </c>
      <c r="G324">
        <v>4649.5021999999999</v>
      </c>
      <c r="H324">
        <v>24.049399999999999</v>
      </c>
      <c r="I324">
        <v>11713.65</v>
      </c>
      <c r="J324">
        <v>15.679</v>
      </c>
      <c r="K324">
        <v>0</v>
      </c>
      <c r="L324">
        <v>11622.572</v>
      </c>
      <c r="M324">
        <v>75.399000000000001</v>
      </c>
      <c r="N324">
        <v>400</v>
      </c>
      <c r="O324">
        <v>1005</v>
      </c>
      <c r="P324">
        <v>0</v>
      </c>
      <c r="Q324">
        <v>400</v>
      </c>
      <c r="R324">
        <v>319</v>
      </c>
    </row>
    <row r="325" spans="1:18" x14ac:dyDescent="0.35">
      <c r="A325" s="3">
        <v>44531</v>
      </c>
      <c r="B325" s="4">
        <f t="shared" si="10"/>
        <v>12</v>
      </c>
      <c r="C325" s="4">
        <f t="shared" si="11"/>
        <v>2021</v>
      </c>
      <c r="D325">
        <v>4767.7923000000001</v>
      </c>
      <c r="E325">
        <v>19.191099999999999</v>
      </c>
      <c r="F325">
        <v>0</v>
      </c>
      <c r="G325">
        <v>4676.5060000000003</v>
      </c>
      <c r="H325">
        <v>72.095299999999995</v>
      </c>
      <c r="I325">
        <v>12615.266</v>
      </c>
      <c r="J325">
        <v>19.183</v>
      </c>
      <c r="K325">
        <v>0</v>
      </c>
      <c r="L325">
        <v>12426.77</v>
      </c>
      <c r="M325">
        <v>169.31299999999999</v>
      </c>
      <c r="N325">
        <v>378</v>
      </c>
      <c r="O325">
        <v>1000</v>
      </c>
      <c r="P325">
        <v>0</v>
      </c>
      <c r="Q325">
        <v>376</v>
      </c>
      <c r="R325">
        <v>426</v>
      </c>
    </row>
    <row r="326" spans="1:18" x14ac:dyDescent="0.35">
      <c r="A326" s="3">
        <v>44562</v>
      </c>
      <c r="B326" s="4">
        <f t="shared" si="10"/>
        <v>1</v>
      </c>
      <c r="C326" s="4">
        <f t="shared" si="11"/>
        <v>2022</v>
      </c>
      <c r="D326">
        <v>3935.0868</v>
      </c>
      <c r="E326">
        <v>16.919</v>
      </c>
      <c r="F326">
        <v>0</v>
      </c>
      <c r="G326">
        <v>3891.5868</v>
      </c>
      <c r="H326">
        <v>26.5809</v>
      </c>
      <c r="I326">
        <v>10650.633</v>
      </c>
      <c r="J326">
        <v>17.327999999999999</v>
      </c>
      <c r="K326">
        <v>0</v>
      </c>
      <c r="L326">
        <v>10563.290999999999</v>
      </c>
      <c r="M326">
        <v>70.013999999999996</v>
      </c>
      <c r="N326">
        <v>369</v>
      </c>
      <c r="O326">
        <v>976</v>
      </c>
      <c r="P326">
        <v>0</v>
      </c>
      <c r="Q326">
        <v>368</v>
      </c>
      <c r="R326">
        <v>380</v>
      </c>
    </row>
    <row r="327" spans="1:18" x14ac:dyDescent="0.35">
      <c r="A327" s="3">
        <v>44593</v>
      </c>
      <c r="B327" s="4">
        <f t="shared" si="10"/>
        <v>2</v>
      </c>
      <c r="C327" s="4">
        <f t="shared" si="11"/>
        <v>2022</v>
      </c>
      <c r="D327">
        <v>3928.4852000000001</v>
      </c>
      <c r="E327">
        <v>13.0785</v>
      </c>
      <c r="F327">
        <v>0</v>
      </c>
      <c r="G327">
        <v>3889.5219000000002</v>
      </c>
      <c r="H327">
        <v>25.884799999999998</v>
      </c>
      <c r="I327">
        <v>10521.378000000001</v>
      </c>
      <c r="J327">
        <v>13.555999999999999</v>
      </c>
      <c r="K327">
        <v>0</v>
      </c>
      <c r="L327">
        <v>10437.207</v>
      </c>
      <c r="M327">
        <v>70.614999999999995</v>
      </c>
      <c r="N327">
        <v>373</v>
      </c>
      <c r="O327">
        <v>965</v>
      </c>
      <c r="P327">
        <v>0</v>
      </c>
      <c r="Q327">
        <v>373</v>
      </c>
      <c r="R327">
        <v>367</v>
      </c>
    </row>
    <row r="328" spans="1:18" x14ac:dyDescent="0.35">
      <c r="A328" s="3">
        <v>44621</v>
      </c>
      <c r="B328" s="4">
        <f t="shared" si="10"/>
        <v>3</v>
      </c>
      <c r="C328" s="4">
        <f t="shared" si="11"/>
        <v>2022</v>
      </c>
      <c r="D328">
        <v>4712.0937000000004</v>
      </c>
      <c r="E328">
        <v>13.9186</v>
      </c>
      <c r="F328">
        <v>0</v>
      </c>
      <c r="G328">
        <v>4662.5487000000003</v>
      </c>
      <c r="H328">
        <v>35.626399999999997</v>
      </c>
      <c r="I328">
        <v>12000.825999999999</v>
      </c>
      <c r="J328">
        <v>13.881</v>
      </c>
      <c r="K328">
        <v>0</v>
      </c>
      <c r="L328">
        <v>11896.223</v>
      </c>
      <c r="M328">
        <v>90.721999999999994</v>
      </c>
      <c r="N328">
        <v>393</v>
      </c>
      <c r="O328">
        <v>1003</v>
      </c>
      <c r="P328">
        <v>0</v>
      </c>
      <c r="Q328">
        <v>392</v>
      </c>
      <c r="R328">
        <v>393</v>
      </c>
    </row>
    <row r="329" spans="1:18" x14ac:dyDescent="0.35">
      <c r="A329" s="3">
        <v>44652</v>
      </c>
      <c r="B329" s="4">
        <f t="shared" si="10"/>
        <v>4</v>
      </c>
      <c r="C329" s="4">
        <f t="shared" si="11"/>
        <v>2022</v>
      </c>
      <c r="D329">
        <v>4749.1098000000002</v>
      </c>
      <c r="E329">
        <v>12.593999999999999</v>
      </c>
      <c r="F329">
        <v>0</v>
      </c>
      <c r="G329">
        <v>4708.3428000000004</v>
      </c>
      <c r="H329">
        <v>28.172999999999998</v>
      </c>
      <c r="I329">
        <v>12140.406000000001</v>
      </c>
      <c r="J329">
        <v>15.231999999999999</v>
      </c>
      <c r="K329">
        <v>0</v>
      </c>
      <c r="L329">
        <v>12045.861000000001</v>
      </c>
      <c r="M329">
        <v>79.313000000000002</v>
      </c>
      <c r="N329">
        <v>391</v>
      </c>
      <c r="O329">
        <v>827</v>
      </c>
      <c r="P329">
        <v>0</v>
      </c>
      <c r="Q329">
        <v>391</v>
      </c>
      <c r="R329">
        <v>355</v>
      </c>
    </row>
    <row r="330" spans="1:18" x14ac:dyDescent="0.35">
      <c r="A330" s="3">
        <v>44682</v>
      </c>
      <c r="B330" s="4">
        <f t="shared" si="10"/>
        <v>5</v>
      </c>
      <c r="C330" s="4">
        <f t="shared" si="11"/>
        <v>2022</v>
      </c>
      <c r="D330">
        <v>5173.7152999999998</v>
      </c>
      <c r="E330">
        <v>13.246</v>
      </c>
      <c r="F330">
        <v>0</v>
      </c>
      <c r="G330">
        <v>5124.2024000000001</v>
      </c>
      <c r="H330">
        <v>36.267000000000003</v>
      </c>
      <c r="I330">
        <v>13656.275</v>
      </c>
      <c r="J330">
        <v>13.329000000000001</v>
      </c>
      <c r="K330">
        <v>0</v>
      </c>
      <c r="L330">
        <v>13546.999</v>
      </c>
      <c r="M330">
        <v>95.947000000000003</v>
      </c>
      <c r="N330">
        <v>379</v>
      </c>
      <c r="O330">
        <v>994</v>
      </c>
      <c r="P330">
        <v>0</v>
      </c>
      <c r="Q330">
        <v>378</v>
      </c>
      <c r="R330">
        <v>378</v>
      </c>
    </row>
    <row r="331" spans="1:18" x14ac:dyDescent="0.35">
      <c r="A331" s="3">
        <v>44713</v>
      </c>
      <c r="B331" s="4">
        <f t="shared" si="10"/>
        <v>6</v>
      </c>
      <c r="C331" s="4">
        <f t="shared" si="11"/>
        <v>2022</v>
      </c>
      <c r="D331">
        <v>5150.2223000000004</v>
      </c>
      <c r="E331">
        <v>15.5997</v>
      </c>
      <c r="F331">
        <v>0</v>
      </c>
      <c r="G331">
        <v>5096.2987999999996</v>
      </c>
      <c r="H331">
        <v>38.323799999999999</v>
      </c>
      <c r="I331">
        <v>12736.611999999999</v>
      </c>
      <c r="J331">
        <v>14.917</v>
      </c>
      <c r="K331">
        <v>0</v>
      </c>
      <c r="L331">
        <v>12616.351000000001</v>
      </c>
      <c r="M331">
        <v>105.34399999999999</v>
      </c>
      <c r="N331">
        <v>404</v>
      </c>
      <c r="O331">
        <v>1046</v>
      </c>
      <c r="P331">
        <v>0</v>
      </c>
      <c r="Q331">
        <v>404</v>
      </c>
      <c r="R331">
        <v>364</v>
      </c>
    </row>
    <row r="332" spans="1:18" x14ac:dyDescent="0.35">
      <c r="A332" s="3">
        <v>44743</v>
      </c>
      <c r="B332" s="4">
        <f t="shared" si="10"/>
        <v>7</v>
      </c>
      <c r="C332" s="4">
        <f t="shared" si="11"/>
        <v>2022</v>
      </c>
      <c r="D332">
        <v>5342.8370000000004</v>
      </c>
      <c r="E332">
        <v>15.686299999999999</v>
      </c>
      <c r="F332">
        <v>0</v>
      </c>
      <c r="G332">
        <v>5283.7527</v>
      </c>
      <c r="H332">
        <v>43.398000000000003</v>
      </c>
      <c r="I332">
        <v>13160.529</v>
      </c>
      <c r="J332">
        <v>14.351000000000001</v>
      </c>
      <c r="K332">
        <v>0</v>
      </c>
      <c r="L332">
        <v>13036.701999999999</v>
      </c>
      <c r="M332">
        <v>109.476</v>
      </c>
      <c r="N332">
        <v>406</v>
      </c>
      <c r="O332">
        <v>1093</v>
      </c>
      <c r="P332">
        <v>0</v>
      </c>
      <c r="Q332">
        <v>405</v>
      </c>
      <c r="R332">
        <v>396</v>
      </c>
    </row>
    <row r="333" spans="1:18" x14ac:dyDescent="0.35">
      <c r="A333" s="3">
        <v>44774</v>
      </c>
      <c r="B333" s="4">
        <f t="shared" si="10"/>
        <v>8</v>
      </c>
      <c r="C333" s="4">
        <f t="shared" si="11"/>
        <v>2022</v>
      </c>
      <c r="D333">
        <v>5160.1441000000004</v>
      </c>
      <c r="E333">
        <v>14.305400000000001</v>
      </c>
      <c r="F333">
        <v>0</v>
      </c>
      <c r="G333">
        <v>5106.3851999999997</v>
      </c>
      <c r="H333">
        <v>39.453499999999998</v>
      </c>
      <c r="I333">
        <v>13224.526</v>
      </c>
      <c r="J333">
        <v>13.731999999999999</v>
      </c>
      <c r="K333">
        <v>0</v>
      </c>
      <c r="L333">
        <v>13122.587</v>
      </c>
      <c r="M333">
        <v>88.206999999999994</v>
      </c>
      <c r="N333">
        <v>390</v>
      </c>
      <c r="O333">
        <v>1042</v>
      </c>
      <c r="P333">
        <v>0</v>
      </c>
      <c r="Q333">
        <v>389</v>
      </c>
      <c r="R333">
        <v>447</v>
      </c>
    </row>
    <row r="334" spans="1:18" x14ac:dyDescent="0.35">
      <c r="A334" s="3">
        <v>44805</v>
      </c>
      <c r="B334" s="4">
        <f t="shared" si="10"/>
        <v>9</v>
      </c>
      <c r="C334" s="4">
        <f t="shared" si="11"/>
        <v>2022</v>
      </c>
      <c r="D334">
        <v>5078.5861999999997</v>
      </c>
      <c r="E334">
        <v>12.688700000000001</v>
      </c>
      <c r="F334">
        <v>0</v>
      </c>
      <c r="G334">
        <v>5031.8651</v>
      </c>
      <c r="H334">
        <v>34.032499999999999</v>
      </c>
      <c r="I334">
        <v>12875.549000000001</v>
      </c>
      <c r="J334">
        <v>12.414999999999999</v>
      </c>
      <c r="K334">
        <v>0</v>
      </c>
      <c r="L334">
        <v>12770.15</v>
      </c>
      <c r="M334">
        <v>92.983999999999995</v>
      </c>
      <c r="N334">
        <v>394</v>
      </c>
      <c r="O334">
        <v>1022</v>
      </c>
      <c r="P334">
        <v>0</v>
      </c>
      <c r="Q334">
        <v>394</v>
      </c>
      <c r="R334">
        <v>366</v>
      </c>
    </row>
    <row r="335" spans="1:18" x14ac:dyDescent="0.35">
      <c r="A335" s="3">
        <v>44835</v>
      </c>
      <c r="B335" s="4">
        <f t="shared" si="10"/>
        <v>10</v>
      </c>
      <c r="C335" s="4">
        <f t="shared" si="11"/>
        <v>2022</v>
      </c>
      <c r="D335">
        <v>5404.6701999999996</v>
      </c>
      <c r="E335">
        <v>12.175800000000001</v>
      </c>
      <c r="F335">
        <v>0</v>
      </c>
      <c r="G335">
        <v>5351.2385999999997</v>
      </c>
      <c r="H335">
        <v>41.255800000000001</v>
      </c>
      <c r="I335">
        <v>14032.535</v>
      </c>
      <c r="J335">
        <v>11.852</v>
      </c>
      <c r="K335">
        <v>0</v>
      </c>
      <c r="L335">
        <v>13920.468000000001</v>
      </c>
      <c r="M335">
        <v>100.215</v>
      </c>
      <c r="N335">
        <v>385</v>
      </c>
      <c r="O335">
        <v>1027</v>
      </c>
      <c r="P335">
        <v>0</v>
      </c>
      <c r="Q335">
        <v>384</v>
      </c>
      <c r="R335">
        <v>412</v>
      </c>
    </row>
    <row r="336" spans="1:18" x14ac:dyDescent="0.35">
      <c r="A336" s="3">
        <v>44866</v>
      </c>
      <c r="B336" s="4">
        <f t="shared" si="10"/>
        <v>11</v>
      </c>
      <c r="C336" s="4">
        <f t="shared" si="11"/>
        <v>2022</v>
      </c>
      <c r="D336">
        <v>4853.7460000000001</v>
      </c>
      <c r="E336">
        <v>19.180299999999999</v>
      </c>
      <c r="F336">
        <v>0</v>
      </c>
      <c r="G336">
        <v>4789.6432999999997</v>
      </c>
      <c r="H336">
        <v>44.922400000000003</v>
      </c>
      <c r="I336">
        <v>12334.505999999999</v>
      </c>
      <c r="J336">
        <v>19.178999999999998</v>
      </c>
      <c r="K336">
        <v>0</v>
      </c>
      <c r="L336">
        <v>12198.656000000001</v>
      </c>
      <c r="M336">
        <v>116.67100000000001</v>
      </c>
      <c r="N336">
        <v>394</v>
      </c>
      <c r="O336">
        <v>1000</v>
      </c>
      <c r="P336">
        <v>0</v>
      </c>
      <c r="Q336">
        <v>393</v>
      </c>
      <c r="R336">
        <v>385</v>
      </c>
    </row>
    <row r="337" spans="1:18" x14ac:dyDescent="0.35">
      <c r="A337" s="3">
        <v>44896</v>
      </c>
      <c r="B337" s="4">
        <f t="shared" si="10"/>
        <v>12</v>
      </c>
      <c r="C337" s="4">
        <f t="shared" si="11"/>
        <v>2022</v>
      </c>
      <c r="D337">
        <v>5379.1315999999997</v>
      </c>
      <c r="E337">
        <v>15.9841</v>
      </c>
      <c r="F337">
        <v>0</v>
      </c>
      <c r="G337">
        <v>5289.6099000000004</v>
      </c>
      <c r="H337">
        <v>73.537700000000001</v>
      </c>
      <c r="I337">
        <v>13786.483</v>
      </c>
      <c r="J337">
        <v>15.231999999999999</v>
      </c>
      <c r="K337">
        <v>0</v>
      </c>
      <c r="L337">
        <v>13604.078</v>
      </c>
      <c r="M337">
        <v>167.173</v>
      </c>
      <c r="N337">
        <v>390</v>
      </c>
      <c r="O337">
        <v>1049</v>
      </c>
      <c r="P337">
        <v>0</v>
      </c>
      <c r="Q337">
        <v>389</v>
      </c>
      <c r="R337">
        <v>440</v>
      </c>
    </row>
    <row r="338" spans="1:18" x14ac:dyDescent="0.35">
      <c r="A338" s="3">
        <v>44927</v>
      </c>
      <c r="B338" s="4">
        <f t="shared" si="10"/>
        <v>1</v>
      </c>
      <c r="C338" s="4">
        <f t="shared" si="11"/>
        <v>2023</v>
      </c>
      <c r="D338">
        <v>4435.4259000000002</v>
      </c>
      <c r="E338">
        <v>14.511200000000001</v>
      </c>
      <c r="F338">
        <v>0</v>
      </c>
      <c r="G338">
        <v>4372.4336999999996</v>
      </c>
      <c r="H338">
        <v>48.481099999999998</v>
      </c>
      <c r="I338">
        <v>11845.643</v>
      </c>
      <c r="J338">
        <v>14.923999999999999</v>
      </c>
      <c r="K338">
        <v>0</v>
      </c>
      <c r="L338">
        <v>11728.108</v>
      </c>
      <c r="M338">
        <v>102.611</v>
      </c>
      <c r="N338">
        <v>374</v>
      </c>
      <c r="O338">
        <v>972</v>
      </c>
      <c r="P338">
        <v>0</v>
      </c>
      <c r="Q338">
        <v>373</v>
      </c>
      <c r="R338">
        <v>472</v>
      </c>
    </row>
    <row r="339" spans="1:18" x14ac:dyDescent="0.35">
      <c r="A339" s="3">
        <v>44958</v>
      </c>
      <c r="B339" s="4">
        <f t="shared" si="10"/>
        <v>2</v>
      </c>
      <c r="C339" s="4">
        <f t="shared" si="11"/>
        <v>2023</v>
      </c>
      <c r="D339">
        <v>4347.2493999999997</v>
      </c>
      <c r="E339">
        <v>11.3116</v>
      </c>
      <c r="F339">
        <v>0</v>
      </c>
      <c r="G339">
        <v>4292.9278000000004</v>
      </c>
      <c r="H339">
        <v>43.01</v>
      </c>
      <c r="I339">
        <v>11598.921</v>
      </c>
      <c r="J339">
        <v>11.853</v>
      </c>
      <c r="K339">
        <v>0</v>
      </c>
      <c r="L339">
        <v>11494.383</v>
      </c>
      <c r="M339">
        <v>92.685000000000002</v>
      </c>
      <c r="N339">
        <v>375</v>
      </c>
      <c r="O339">
        <v>954</v>
      </c>
      <c r="P339">
        <v>0</v>
      </c>
      <c r="Q339">
        <v>373</v>
      </c>
      <c r="R339">
        <v>464</v>
      </c>
    </row>
    <row r="340" spans="1:18" x14ac:dyDescent="0.35">
      <c r="A340" s="3">
        <v>44986</v>
      </c>
      <c r="B340" s="4">
        <f t="shared" si="10"/>
        <v>3</v>
      </c>
      <c r="C340" s="4">
        <f t="shared" si="11"/>
        <v>2023</v>
      </c>
      <c r="D340">
        <v>5189.7691999999997</v>
      </c>
      <c r="E340">
        <v>12.120799999999999</v>
      </c>
      <c r="F340">
        <v>0</v>
      </c>
      <c r="G340">
        <v>5138.3666999999996</v>
      </c>
      <c r="H340">
        <v>39.281700000000001</v>
      </c>
      <c r="I340">
        <v>13165.16</v>
      </c>
      <c r="J340">
        <v>11.884</v>
      </c>
      <c r="K340">
        <v>0</v>
      </c>
      <c r="L340">
        <v>13061.924999999999</v>
      </c>
      <c r="M340">
        <v>91.350999999999999</v>
      </c>
      <c r="N340">
        <v>394</v>
      </c>
      <c r="O340">
        <v>1020</v>
      </c>
      <c r="P340">
        <v>0</v>
      </c>
      <c r="Q340">
        <v>393</v>
      </c>
      <c r="R340">
        <v>430</v>
      </c>
    </row>
    <row r="341" spans="1:18" x14ac:dyDescent="0.35">
      <c r="A341" s="3">
        <v>45017</v>
      </c>
      <c r="B341" s="4">
        <f t="shared" si="10"/>
        <v>4</v>
      </c>
      <c r="C341" s="4">
        <f t="shared" si="11"/>
        <v>2023</v>
      </c>
      <c r="D341">
        <v>5006.6692999999996</v>
      </c>
      <c r="E341">
        <v>10.5639</v>
      </c>
      <c r="F341">
        <v>0</v>
      </c>
      <c r="G341">
        <v>4957.1737000000003</v>
      </c>
      <c r="H341">
        <v>38.931699999999999</v>
      </c>
      <c r="I341">
        <v>13097.121999999999</v>
      </c>
      <c r="J341">
        <v>10.746</v>
      </c>
      <c r="K341">
        <v>0</v>
      </c>
      <c r="L341">
        <v>12997.588</v>
      </c>
      <c r="M341">
        <v>88.787999999999997</v>
      </c>
      <c r="N341">
        <v>382</v>
      </c>
      <c r="O341">
        <v>983</v>
      </c>
      <c r="P341">
        <v>0</v>
      </c>
      <c r="Q341">
        <v>381</v>
      </c>
      <c r="R341">
        <v>438</v>
      </c>
    </row>
    <row r="342" spans="1:18" x14ac:dyDescent="0.35">
      <c r="A342" s="3">
        <v>45047</v>
      </c>
      <c r="B342" s="4">
        <f t="shared" si="10"/>
        <v>5</v>
      </c>
      <c r="C342" s="4">
        <f t="shared" si="11"/>
        <v>2023</v>
      </c>
      <c r="D342">
        <v>5675.5604000000003</v>
      </c>
      <c r="E342">
        <v>11.931900000000001</v>
      </c>
      <c r="F342">
        <v>0</v>
      </c>
      <c r="G342">
        <v>5617.098</v>
      </c>
      <c r="H342">
        <v>46.5306</v>
      </c>
      <c r="I342">
        <v>14555.602999999999</v>
      </c>
      <c r="J342">
        <v>11.946</v>
      </c>
      <c r="K342">
        <v>0</v>
      </c>
      <c r="L342">
        <v>14445.450999999999</v>
      </c>
      <c r="M342">
        <v>98.206000000000003</v>
      </c>
      <c r="N342">
        <v>390</v>
      </c>
      <c r="O342">
        <v>999</v>
      </c>
      <c r="P342">
        <v>0</v>
      </c>
      <c r="Q342">
        <v>389</v>
      </c>
      <c r="R342">
        <v>474</v>
      </c>
    </row>
    <row r="343" spans="1:18" x14ac:dyDescent="0.35">
      <c r="A343" s="3">
        <v>45078</v>
      </c>
      <c r="B343" s="4">
        <f t="shared" si="10"/>
        <v>6</v>
      </c>
      <c r="C343" s="4">
        <f t="shared" si="11"/>
        <v>2023</v>
      </c>
      <c r="D343">
        <v>5584.4429</v>
      </c>
      <c r="E343">
        <v>11.517899999999999</v>
      </c>
      <c r="F343">
        <v>0</v>
      </c>
      <c r="G343">
        <v>5526.8797000000004</v>
      </c>
      <c r="H343">
        <v>46.045299999999997</v>
      </c>
      <c r="I343">
        <v>13723.959000000001</v>
      </c>
      <c r="J343">
        <v>11.499000000000001</v>
      </c>
      <c r="K343">
        <v>0</v>
      </c>
      <c r="L343">
        <v>13605.444</v>
      </c>
      <c r="M343">
        <v>107.01600000000001</v>
      </c>
      <c r="N343">
        <v>407</v>
      </c>
      <c r="O343">
        <v>1002</v>
      </c>
      <c r="P343">
        <v>0</v>
      </c>
      <c r="Q343">
        <v>406</v>
      </c>
      <c r="R343">
        <v>430</v>
      </c>
    </row>
    <row r="344" spans="1:18" x14ac:dyDescent="0.35">
      <c r="A344" s="3">
        <v>45108</v>
      </c>
      <c r="B344" s="4">
        <f t="shared" si="10"/>
        <v>7</v>
      </c>
      <c r="C344" s="4">
        <f t="shared" si="11"/>
        <v>2023</v>
      </c>
      <c r="D344">
        <v>5668.0546000000004</v>
      </c>
      <c r="E344">
        <v>12.1911</v>
      </c>
      <c r="F344">
        <v>0</v>
      </c>
      <c r="G344">
        <v>5600.7475999999997</v>
      </c>
      <c r="H344">
        <v>55.115900000000003</v>
      </c>
      <c r="I344">
        <v>13847.678</v>
      </c>
      <c r="J344">
        <v>11.284000000000001</v>
      </c>
      <c r="K344">
        <v>0</v>
      </c>
      <c r="L344">
        <v>13721.849</v>
      </c>
      <c r="M344">
        <v>114.545</v>
      </c>
      <c r="N344">
        <v>409</v>
      </c>
      <c r="O344">
        <v>1080</v>
      </c>
      <c r="P344">
        <v>0</v>
      </c>
      <c r="Q344">
        <v>408</v>
      </c>
      <c r="R344">
        <v>481</v>
      </c>
    </row>
    <row r="345" spans="1:18" x14ac:dyDescent="0.35">
      <c r="A345" s="3">
        <v>45139</v>
      </c>
      <c r="B345" s="4">
        <f t="shared" si="10"/>
        <v>8</v>
      </c>
      <c r="C345" s="4">
        <f t="shared" si="11"/>
        <v>2023</v>
      </c>
      <c r="D345">
        <v>5568.2127</v>
      </c>
      <c r="E345">
        <v>11.501300000000001</v>
      </c>
      <c r="F345">
        <v>0</v>
      </c>
      <c r="G345">
        <v>5521.1063999999997</v>
      </c>
      <c r="H345">
        <v>35.604999999999997</v>
      </c>
      <c r="I345">
        <v>13818.625</v>
      </c>
      <c r="J345">
        <v>11.419</v>
      </c>
      <c r="K345">
        <v>0</v>
      </c>
      <c r="L345">
        <v>13722.111999999999</v>
      </c>
      <c r="M345">
        <v>85.093999999999994</v>
      </c>
      <c r="N345">
        <v>403</v>
      </c>
      <c r="O345">
        <v>1007</v>
      </c>
      <c r="P345">
        <v>0</v>
      </c>
      <c r="Q345">
        <v>402</v>
      </c>
      <c r="R345">
        <v>418</v>
      </c>
    </row>
    <row r="346" spans="1:18" x14ac:dyDescent="0.35">
      <c r="A346" s="3">
        <v>45170</v>
      </c>
      <c r="B346" s="4">
        <f t="shared" si="10"/>
        <v>9</v>
      </c>
      <c r="C346" s="4">
        <f t="shared" si="11"/>
        <v>2023</v>
      </c>
      <c r="D346">
        <v>5616.6566000000003</v>
      </c>
      <c r="E346">
        <v>10.3324</v>
      </c>
      <c r="F346">
        <v>0</v>
      </c>
      <c r="G346">
        <v>5578.0856999999996</v>
      </c>
      <c r="H346">
        <v>28.238499999999998</v>
      </c>
      <c r="I346">
        <v>13918.85</v>
      </c>
      <c r="J346">
        <v>10.548</v>
      </c>
      <c r="K346">
        <v>0</v>
      </c>
      <c r="L346">
        <v>13837.38</v>
      </c>
      <c r="M346">
        <v>70.921999999999997</v>
      </c>
      <c r="N346">
        <v>404</v>
      </c>
      <c r="O346">
        <v>980</v>
      </c>
      <c r="P346">
        <v>0</v>
      </c>
      <c r="Q346">
        <v>403</v>
      </c>
      <c r="R346">
        <v>398</v>
      </c>
    </row>
    <row r="347" spans="1:18" x14ac:dyDescent="0.35">
      <c r="A347" s="3">
        <v>45200</v>
      </c>
      <c r="B347" s="4">
        <f t="shared" si="10"/>
        <v>10</v>
      </c>
      <c r="C347" s="4">
        <f t="shared" si="11"/>
        <v>2023</v>
      </c>
      <c r="D347">
        <v>5817.8271999999997</v>
      </c>
      <c r="E347">
        <v>10.672000000000001</v>
      </c>
      <c r="F347">
        <v>0</v>
      </c>
      <c r="G347">
        <v>5771.3959999999997</v>
      </c>
      <c r="H347">
        <v>35.759099999999997</v>
      </c>
      <c r="I347">
        <v>14653.947</v>
      </c>
      <c r="J347">
        <v>10.381</v>
      </c>
      <c r="K347">
        <v>0</v>
      </c>
      <c r="L347">
        <v>14559.932000000001</v>
      </c>
      <c r="M347">
        <v>83.634</v>
      </c>
      <c r="N347">
        <v>397</v>
      </c>
      <c r="O347">
        <v>1028</v>
      </c>
      <c r="P347">
        <v>0</v>
      </c>
      <c r="Q347">
        <v>396</v>
      </c>
      <c r="R347">
        <v>428</v>
      </c>
    </row>
    <row r="348" spans="1:18" x14ac:dyDescent="0.35">
      <c r="A348" s="3">
        <v>45231</v>
      </c>
      <c r="B348" s="4">
        <f t="shared" si="10"/>
        <v>11</v>
      </c>
      <c r="C348" s="4">
        <f t="shared" si="11"/>
        <v>2023</v>
      </c>
      <c r="D348">
        <v>4913.0348000000004</v>
      </c>
      <c r="E348">
        <v>9.2893000000000008</v>
      </c>
      <c r="F348">
        <v>0</v>
      </c>
      <c r="G348">
        <v>4861.7311</v>
      </c>
      <c r="H348">
        <v>42.014499999999998</v>
      </c>
      <c r="I348">
        <v>12715.549000000001</v>
      </c>
      <c r="J348">
        <v>9.4589999999999996</v>
      </c>
      <c r="K348">
        <v>0</v>
      </c>
      <c r="L348">
        <v>12613.08</v>
      </c>
      <c r="M348">
        <v>93.01</v>
      </c>
      <c r="N348">
        <v>386</v>
      </c>
      <c r="O348">
        <v>982</v>
      </c>
      <c r="P348">
        <v>0</v>
      </c>
      <c r="Q348">
        <v>385</v>
      </c>
      <c r="R348">
        <v>452</v>
      </c>
    </row>
    <row r="349" spans="1:18" x14ac:dyDescent="0.35">
      <c r="A349" s="3">
        <v>45261</v>
      </c>
      <c r="B349" s="4">
        <f t="shared" si="10"/>
        <v>12</v>
      </c>
      <c r="C349" s="4">
        <f t="shared" si="11"/>
        <v>2023</v>
      </c>
      <c r="D349">
        <v>5496.8708999999999</v>
      </c>
      <c r="E349">
        <v>12.013400000000001</v>
      </c>
      <c r="F349">
        <v>0</v>
      </c>
      <c r="G349">
        <v>5410.6382999999996</v>
      </c>
      <c r="H349">
        <v>74.219200000000001</v>
      </c>
      <c r="I349">
        <v>14089.571</v>
      </c>
      <c r="J349">
        <v>12.413</v>
      </c>
      <c r="K349">
        <v>0</v>
      </c>
      <c r="L349">
        <v>13932.016</v>
      </c>
      <c r="M349">
        <v>145.142</v>
      </c>
      <c r="N349">
        <v>390</v>
      </c>
      <c r="O349">
        <v>968</v>
      </c>
      <c r="P349">
        <v>0</v>
      </c>
      <c r="Q349">
        <v>388</v>
      </c>
      <c r="R349">
        <v>511</v>
      </c>
    </row>
    <row r="350" spans="1:18" x14ac:dyDescent="0.35">
      <c r="A350" s="3">
        <v>45292</v>
      </c>
      <c r="B350" s="4">
        <f t="shared" si="10"/>
        <v>1</v>
      </c>
      <c r="C350" s="4">
        <f t="shared" si="11"/>
        <v>2024</v>
      </c>
      <c r="D350">
        <v>4573.2226000000001</v>
      </c>
      <c r="E350">
        <v>13.1013</v>
      </c>
      <c r="F350">
        <v>0</v>
      </c>
      <c r="G350">
        <v>4511.3469999999998</v>
      </c>
      <c r="H350">
        <v>48.774299999999997</v>
      </c>
      <c r="I350">
        <v>11754.144</v>
      </c>
      <c r="J350">
        <v>13.289</v>
      </c>
      <c r="K350">
        <v>0</v>
      </c>
      <c r="L350">
        <v>11645.195</v>
      </c>
      <c r="M350">
        <v>95.66</v>
      </c>
      <c r="N350">
        <v>389</v>
      </c>
      <c r="O350">
        <v>986</v>
      </c>
      <c r="P350">
        <v>0</v>
      </c>
      <c r="Q350">
        <v>387</v>
      </c>
      <c r="R350">
        <v>510</v>
      </c>
    </row>
    <row r="351" spans="1:18" x14ac:dyDescent="0.35">
      <c r="A351" s="3">
        <v>45323</v>
      </c>
      <c r="B351" s="4">
        <f t="shared" si="10"/>
        <v>2</v>
      </c>
      <c r="C351" s="4">
        <f t="shared" si="11"/>
        <v>2024</v>
      </c>
      <c r="D351">
        <v>4494.8383999999996</v>
      </c>
      <c r="E351">
        <v>9.4620999999999995</v>
      </c>
      <c r="F351">
        <v>0</v>
      </c>
      <c r="G351">
        <v>4453.9754999999996</v>
      </c>
      <c r="H351">
        <v>31.4008</v>
      </c>
      <c r="I351">
        <v>11733.028</v>
      </c>
      <c r="J351">
        <v>9.5939999999999994</v>
      </c>
      <c r="K351">
        <v>0</v>
      </c>
      <c r="L351">
        <v>11644.358</v>
      </c>
      <c r="M351">
        <v>79.075999999999993</v>
      </c>
      <c r="N351">
        <v>383</v>
      </c>
      <c r="O351">
        <v>986</v>
      </c>
      <c r="P351">
        <v>0</v>
      </c>
      <c r="Q351">
        <v>383</v>
      </c>
      <c r="R351">
        <v>397</v>
      </c>
    </row>
    <row r="352" spans="1:18" x14ac:dyDescent="0.35">
      <c r="A352" s="3">
        <v>45352</v>
      </c>
      <c r="B352" s="4">
        <f t="shared" si="10"/>
        <v>3</v>
      </c>
      <c r="C352" s="4">
        <f t="shared" si="11"/>
        <v>2024</v>
      </c>
      <c r="D352">
        <v>5014.5816000000004</v>
      </c>
      <c r="E352">
        <v>8.2152999999999992</v>
      </c>
      <c r="F352">
        <v>0</v>
      </c>
      <c r="G352">
        <v>4969.1741000000002</v>
      </c>
      <c r="H352">
        <v>37.1922</v>
      </c>
      <c r="I352">
        <v>13128.870999999999</v>
      </c>
      <c r="J352">
        <v>8.25</v>
      </c>
      <c r="K352">
        <v>0</v>
      </c>
      <c r="L352">
        <v>13028.388000000001</v>
      </c>
      <c r="M352">
        <v>92.233000000000004</v>
      </c>
      <c r="N352">
        <v>382</v>
      </c>
      <c r="O352">
        <v>996</v>
      </c>
      <c r="P352">
        <v>0</v>
      </c>
      <c r="Q352">
        <v>381</v>
      </c>
      <c r="R352">
        <v>403</v>
      </c>
    </row>
    <row r="353" spans="1:18" x14ac:dyDescent="0.35">
      <c r="A353" s="3">
        <v>45383</v>
      </c>
      <c r="B353" s="4">
        <f t="shared" si="10"/>
        <v>4</v>
      </c>
      <c r="C353" s="4">
        <f t="shared" si="11"/>
        <v>2024</v>
      </c>
      <c r="D353">
        <v>5422.2695000000003</v>
      </c>
      <c r="E353">
        <v>10.199400000000001</v>
      </c>
      <c r="F353">
        <v>0</v>
      </c>
      <c r="G353">
        <v>5371.1917999999996</v>
      </c>
      <c r="H353">
        <v>40.878300000000003</v>
      </c>
      <c r="I353">
        <v>13469.939</v>
      </c>
      <c r="J353">
        <v>10.382999999999999</v>
      </c>
      <c r="K353">
        <v>0</v>
      </c>
      <c r="L353">
        <v>13366.329</v>
      </c>
      <c r="M353">
        <v>93.227000000000004</v>
      </c>
      <c r="N353">
        <v>403</v>
      </c>
      <c r="O353">
        <v>982</v>
      </c>
      <c r="P353">
        <v>0</v>
      </c>
      <c r="Q353">
        <v>402</v>
      </c>
      <c r="R353">
        <v>438</v>
      </c>
    </row>
    <row r="354" spans="1:18" x14ac:dyDescent="0.35">
      <c r="A354" s="3">
        <v>45413</v>
      </c>
      <c r="B354" s="4">
        <f t="shared" si="10"/>
        <v>5</v>
      </c>
      <c r="C354" s="4">
        <f t="shared" si="11"/>
        <v>2024</v>
      </c>
      <c r="D354">
        <v>5624.4740000000002</v>
      </c>
      <c r="E354">
        <v>9.3605</v>
      </c>
      <c r="F354">
        <v>0</v>
      </c>
      <c r="G354">
        <v>5567.6522000000004</v>
      </c>
      <c r="H354">
        <v>47.461199999999998</v>
      </c>
      <c r="I354">
        <v>14765.449000000001</v>
      </c>
      <c r="J354">
        <v>9.4410000000000007</v>
      </c>
      <c r="K354">
        <v>0</v>
      </c>
      <c r="L354">
        <v>14655.838</v>
      </c>
      <c r="M354">
        <v>100.17</v>
      </c>
      <c r="N354">
        <v>381</v>
      </c>
      <c r="O354">
        <v>991</v>
      </c>
      <c r="P354">
        <v>0</v>
      </c>
      <c r="Q354">
        <v>380</v>
      </c>
      <c r="R354">
        <v>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Andrea Vismara</cp:lastModifiedBy>
  <dcterms:created xsi:type="dcterms:W3CDTF">2024-07-17T13:48:03Z</dcterms:created>
  <dcterms:modified xsi:type="dcterms:W3CDTF">2026-09-17T14:33:11Z</dcterms:modified>
</cp:coreProperties>
</file>